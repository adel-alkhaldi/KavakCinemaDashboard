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el\KavakCinemaDashboard\"/>
    </mc:Choice>
  </mc:AlternateContent>
  <xr:revisionPtr revIDLastSave="0" documentId="13_ncr:1_{C74DCD99-F2EF-4AA0-BCB4-DA2A5A5E0EF7}" xr6:coauthVersionLast="47" xr6:coauthVersionMax="47" xr10:uidLastSave="{00000000-0000-0000-0000-000000000000}"/>
  <bookViews>
    <workbookView xWindow="-60" yWindow="-16320" windowWidth="29040" windowHeight="15720" activeTab="3" xr2:uid="{00000000-000D-0000-FFFF-FFFF00000000}"/>
  </bookViews>
  <sheets>
    <sheet name="Glossary" sheetId="1" r:id="rId1"/>
    <sheet name="Original Data" sheetId="2" r:id="rId2"/>
    <sheet name="Monthly Profit &amp; Refined Data" sheetId="3" r:id="rId3"/>
    <sheet name="Profit &amp; KPI Analysis" sheetId="4" r:id="rId4"/>
    <sheet name="Reaching Target" sheetId="6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4" l="1"/>
  <c r="D35" i="4"/>
  <c r="D36" i="4"/>
  <c r="D37" i="4"/>
  <c r="D46" i="4" s="1"/>
  <c r="D38" i="4"/>
  <c r="D39" i="4"/>
  <c r="D40" i="4"/>
  <c r="D41" i="4"/>
  <c r="D42" i="4"/>
  <c r="D43" i="4"/>
  <c r="D44" i="4"/>
  <c r="D45" i="4"/>
  <c r="F10" i="6"/>
  <c r="F12" i="6" s="1"/>
  <c r="E46" i="4"/>
  <c r="E34" i="4"/>
  <c r="E35" i="4"/>
  <c r="E36" i="4"/>
  <c r="E37" i="4"/>
  <c r="E38" i="4"/>
  <c r="E39" i="4"/>
  <c r="E40" i="4"/>
  <c r="E41" i="4"/>
  <c r="E42" i="4"/>
  <c r="E43" i="4"/>
  <c r="E44" i="4"/>
  <c r="E45" i="4"/>
  <c r="O15" i="3"/>
  <c r="O18" i="3"/>
  <c r="O23" i="3"/>
  <c r="O20" i="3"/>
  <c r="O16" i="3"/>
  <c r="O19" i="3"/>
  <c r="O21" i="3"/>
  <c r="O24" i="3"/>
  <c r="O14" i="3"/>
  <c r="O17" i="3"/>
  <c r="O22" i="3"/>
  <c r="N16" i="3"/>
  <c r="N17" i="3"/>
  <c r="N18" i="3"/>
  <c r="N21" i="3"/>
  <c r="N22" i="3"/>
  <c r="N23" i="3"/>
  <c r="N24" i="3"/>
  <c r="M17" i="3"/>
  <c r="M18" i="3"/>
  <c r="M19" i="3"/>
  <c r="M20" i="3"/>
  <c r="M21" i="3"/>
  <c r="M22" i="3"/>
  <c r="M23" i="3"/>
  <c r="M24" i="3"/>
  <c r="J6" i="3"/>
  <c r="J7" i="3" s="1"/>
  <c r="J8" i="3" s="1"/>
  <c r="F15" i="3" s="1"/>
  <c r="N15" i="3" l="1"/>
  <c r="M15" i="3"/>
  <c r="N20" i="3"/>
  <c r="N14" i="3"/>
  <c r="O25" i="3"/>
  <c r="M14" i="3"/>
  <c r="M16" i="3"/>
  <c r="O26" i="3"/>
  <c r="M25" i="3"/>
  <c r="N25" i="3"/>
  <c r="N19" i="3"/>
  <c r="C24" i="3"/>
  <c r="L24" i="3"/>
  <c r="L23" i="3"/>
  <c r="C14" i="3"/>
  <c r="C23" i="3"/>
  <c r="E20" i="3"/>
  <c r="L25" i="3"/>
  <c r="L22" i="3"/>
  <c r="C25" i="3"/>
  <c r="D15" i="3"/>
  <c r="E19" i="3"/>
  <c r="L21" i="3"/>
  <c r="E15" i="3"/>
  <c r="F25" i="3"/>
  <c r="F24" i="3"/>
  <c r="D24" i="3"/>
  <c r="F23" i="3"/>
  <c r="D23" i="3"/>
  <c r="F22" i="3"/>
  <c r="L18" i="3"/>
  <c r="C22" i="3"/>
  <c r="L20" i="3"/>
  <c r="L19" i="3"/>
  <c r="D22" i="3"/>
  <c r="L17" i="3"/>
  <c r="L16" i="3"/>
  <c r="C21" i="3"/>
  <c r="L15" i="3"/>
  <c r="D21" i="3"/>
  <c r="E14" i="3"/>
  <c r="D20" i="3"/>
  <c r="F14" i="3"/>
  <c r="D16" i="3"/>
  <c r="L14" i="3"/>
  <c r="F19" i="3"/>
  <c r="E25" i="3"/>
  <c r="F21" i="3"/>
  <c r="C17" i="3"/>
  <c r="E24" i="3"/>
  <c r="F20" i="3"/>
  <c r="C16" i="3"/>
  <c r="E23" i="3"/>
  <c r="C15" i="3"/>
  <c r="E22" i="3"/>
  <c r="F18" i="3"/>
  <c r="D25" i="3"/>
  <c r="E21" i="3"/>
  <c r="E18" i="3"/>
  <c r="F16" i="3"/>
  <c r="C20" i="3"/>
  <c r="D19" i="3"/>
  <c r="F17" i="3"/>
  <c r="C19" i="3"/>
  <c r="D18" i="3"/>
  <c r="E17" i="3"/>
  <c r="D14" i="3"/>
  <c r="C18" i="3"/>
  <c r="D17" i="3"/>
  <c r="E16" i="3"/>
  <c r="N26" i="3" l="1"/>
  <c r="C45" i="4"/>
  <c r="C35" i="4"/>
  <c r="C44" i="4"/>
  <c r="L14" i="6"/>
  <c r="M14" i="6" s="1"/>
  <c r="C22" i="4"/>
  <c r="C42" i="4"/>
  <c r="C37" i="4"/>
  <c r="C41" i="4"/>
  <c r="L13" i="6"/>
  <c r="M13" i="6" s="1"/>
  <c r="C38" i="4"/>
  <c r="C43" i="4"/>
  <c r="C36" i="4"/>
  <c r="C39" i="4"/>
  <c r="C34" i="4"/>
  <c r="C40" i="4"/>
  <c r="G24" i="3"/>
  <c r="M26" i="3"/>
  <c r="L26" i="3"/>
  <c r="I3" i="6" s="1"/>
  <c r="G15" i="3"/>
  <c r="G21" i="3"/>
  <c r="G25" i="3"/>
  <c r="G14" i="3"/>
  <c r="D26" i="3"/>
  <c r="E26" i="3"/>
  <c r="G22" i="3"/>
  <c r="F26" i="3"/>
  <c r="G23" i="3"/>
  <c r="G20" i="3"/>
  <c r="C26" i="3"/>
  <c r="G19" i="3"/>
  <c r="G18" i="3"/>
  <c r="G16" i="3"/>
  <c r="G17" i="3"/>
  <c r="E24" i="6" l="1"/>
  <c r="E25" i="6" s="1"/>
  <c r="F14" i="6"/>
  <c r="F15" i="6"/>
  <c r="C21" i="4"/>
  <c r="L12" i="6"/>
  <c r="M12" i="6" s="1"/>
  <c r="M15" i="6" s="1"/>
  <c r="C20" i="4"/>
  <c r="C46" i="4"/>
  <c r="G26" i="3"/>
  <c r="C7" i="4" l="1"/>
  <c r="C2" i="6"/>
  <c r="M24" i="6" s="1"/>
  <c r="C5" i="6" s="1"/>
  <c r="C4" i="6"/>
  <c r="G32" i="3"/>
  <c r="C14" i="4"/>
  <c r="C12" i="4"/>
  <c r="C13" i="4"/>
  <c r="C15" i="4"/>
  <c r="C8" i="4"/>
</calcChain>
</file>

<file path=xl/sharedStrings.xml><?xml version="1.0" encoding="utf-8"?>
<sst xmlns="http://schemas.openxmlformats.org/spreadsheetml/2006/main" count="189" uniqueCount="115">
  <si>
    <t>Cinema</t>
  </si>
  <si>
    <t>Specific location of the cinema</t>
  </si>
  <si>
    <t>Weekly Customers</t>
  </si>
  <si>
    <t>Average weekly customers watching a movie</t>
  </si>
  <si>
    <t>Weekly Popcorn Sales</t>
  </si>
  <si>
    <t>Average number of popcorn containers (in units) sold weekly</t>
  </si>
  <si>
    <t>Weekly Food Sales</t>
  </si>
  <si>
    <t>Average number of hamburgers, wings, and hot dogs (in units) sold weekly</t>
  </si>
  <si>
    <t>Weekly Soda Sales</t>
  </si>
  <si>
    <t>Average number of sodas (in units) sold weekly</t>
  </si>
  <si>
    <t>Ocupación de Sala</t>
  </si>
  <si>
    <t>Total seats available divided by the number of customers who arrived</t>
  </si>
  <si>
    <t>FTEs</t>
  </si>
  <si>
    <t>Number of employees</t>
  </si>
  <si>
    <t>Waiting time</t>
  </si>
  <si>
    <t>Average time a customer waits in line to buy a ticket and watch the movie (expressed in minutes)</t>
  </si>
  <si>
    <t>CSAT</t>
  </si>
  <si>
    <t>Customer satisfaction, on a scale of 1 to 10</t>
  </si>
  <si>
    <t>Profits per ticket</t>
  </si>
  <si>
    <t>Profit in dollars per ticket</t>
  </si>
  <si>
    <t>Profits per popcorn</t>
  </si>
  <si>
    <t>Profit in dollars per popcorn container</t>
  </si>
  <si>
    <t>Profits per soda</t>
  </si>
  <si>
    <t>Profit in dollars per soda</t>
  </si>
  <si>
    <t>Profits per Food</t>
  </si>
  <si>
    <t>Profit in dollars per food dish</t>
  </si>
  <si>
    <t>Month</t>
  </si>
  <si>
    <t>Profit per Ticket</t>
  </si>
  <si>
    <t>Profit per Popcorn</t>
  </si>
  <si>
    <t>Profit per Soda</t>
  </si>
  <si>
    <t>Profit per Food</t>
  </si>
  <si>
    <t>Room Occupancy</t>
  </si>
  <si>
    <t>Waiting Time</t>
  </si>
  <si>
    <t>Main Detractors</t>
  </si>
  <si>
    <t>4.25</t>
  </si>
  <si>
    <t>Cleanliness of the room</t>
  </si>
  <si>
    <t>Food quality</t>
  </si>
  <si>
    <t>Smell in the room</t>
  </si>
  <si>
    <t>Weeks a Year</t>
  </si>
  <si>
    <t>Months a Year</t>
  </si>
  <si>
    <t>Cinema's Item Profits &amp; Operational Constants.</t>
  </si>
  <si>
    <t>Days a Year</t>
  </si>
  <si>
    <t>Deriving Monthly Multiplier</t>
  </si>
  <si>
    <t>**7 days a week**</t>
  </si>
  <si>
    <t>**12 months a year**</t>
  </si>
  <si>
    <t>Monthly Ticket Profit</t>
  </si>
  <si>
    <t>Monthly Popcorn Profit</t>
  </si>
  <si>
    <t>Monthly Soda Profit</t>
  </si>
  <si>
    <t>Monthly Food Profit</t>
  </si>
  <si>
    <t>Total Month Profit</t>
  </si>
  <si>
    <t>Total Yearly Profit</t>
  </si>
  <si>
    <t>Popcorn</t>
  </si>
  <si>
    <t>Soda</t>
  </si>
  <si>
    <t>Food</t>
  </si>
  <si>
    <t>Ticket</t>
  </si>
  <si>
    <t>Week to Months 
Multiplier</t>
  </si>
  <si>
    <t>Target Profit Rate</t>
  </si>
  <si>
    <t>Target Profit Number</t>
  </si>
  <si>
    <t>Main Detractors (Original)</t>
  </si>
  <si>
    <t>Main Detractors (Derived)</t>
  </si>
  <si>
    <t>Cinema Hygeine</t>
  </si>
  <si>
    <t>SUM</t>
  </si>
  <si>
    <t>Profit Distribution between F&amp;B and Ticket Sales</t>
  </si>
  <si>
    <t>F&amp;B</t>
  </si>
  <si>
    <t>Total Distribution of Profit per Item Breakdown</t>
  </si>
  <si>
    <t>Derived from Weekly Cust.</t>
  </si>
  <si>
    <t>Monthly Popcorn Sales</t>
  </si>
  <si>
    <t>Monthly Soda Sales</t>
  </si>
  <si>
    <t>Monthly Food Sales</t>
  </si>
  <si>
    <t>Assumption: Sales meaning indivisual transactions/purchases of product X</t>
  </si>
  <si>
    <t>Derived from Weekly Food Sales</t>
  </si>
  <si>
    <t>Derived from Weekly Soda Sales</t>
  </si>
  <si>
    <t>Derived from Weekly Popcorn Sales</t>
  </si>
  <si>
    <t>Monthly Customers</t>
  </si>
  <si>
    <t>Average of CSAT</t>
  </si>
  <si>
    <t>Precentage</t>
  </si>
  <si>
    <t>Item</t>
  </si>
  <si>
    <t>Division</t>
  </si>
  <si>
    <t>CSAT Avg</t>
  </si>
  <si>
    <t>CSAT Breakdown</t>
  </si>
  <si>
    <t>Detractors</t>
  </si>
  <si>
    <t>Purchase Rate of F&amp;B Items Breakdown by Customer</t>
  </si>
  <si>
    <t>Months</t>
  </si>
  <si>
    <t>Customers/Employee Ratio</t>
  </si>
  <si>
    <t>Current Year KPIs</t>
  </si>
  <si>
    <r>
      <t xml:space="preserve">Identified Issue: Low Purchase Rate of F&amp;B Products
Solutions: 
1. </t>
    </r>
    <r>
      <rPr>
        <sz val="10"/>
        <color rgb="FF000000"/>
        <rFont val="Arial"/>
        <family val="2"/>
        <scheme val="minor"/>
      </rPr>
      <t xml:space="preserve">Create F&amp;B Offers for Cinema Customers
</t>
    </r>
    <r>
      <rPr>
        <b/>
        <sz val="10"/>
        <color rgb="FF000000"/>
        <rFont val="Arial"/>
        <family val="2"/>
        <scheme val="minor"/>
      </rPr>
      <t xml:space="preserve">2. </t>
    </r>
    <r>
      <rPr>
        <sz val="10"/>
        <color rgb="FF000000"/>
        <rFont val="Arial"/>
        <family val="2"/>
        <scheme val="minor"/>
      </rPr>
      <t xml:space="preserve">Making Food &amp; Items Available for Purchase Standalone
</t>
    </r>
    <r>
      <rPr>
        <b/>
        <sz val="10"/>
        <color rgb="FF000000"/>
        <rFont val="Arial"/>
        <family val="2"/>
        <scheme val="minor"/>
      </rPr>
      <t>3.</t>
    </r>
    <r>
      <rPr>
        <sz val="10"/>
        <color rgb="FF000000"/>
        <rFont val="Arial"/>
        <family val="2"/>
        <scheme val="minor"/>
      </rPr>
      <t xml:space="preserve"> Sell &amp; Advertise F&amp;B Items on Food Delivery Apps such as Talabat (Case Study VOX Cinema).</t>
    </r>
  </si>
  <si>
    <r>
      <t xml:space="preserve">Identified Issue: Cinema Hygeine &amp; Food Quality as biggest detractors
Solution: </t>
    </r>
    <r>
      <rPr>
        <sz val="10"/>
        <color rgb="FF000000"/>
        <rFont val="Arial"/>
        <family val="2"/>
        <scheme val="minor"/>
      </rPr>
      <t>Implement Quality Control on both Cinema Hygeine and Food Quality.</t>
    </r>
    <r>
      <rPr>
        <b/>
        <sz val="10"/>
        <color rgb="FF000000"/>
        <rFont val="Arial"/>
        <family val="2"/>
        <scheme val="minor"/>
      </rPr>
      <t xml:space="preserve">
</t>
    </r>
    <r>
      <rPr>
        <sz val="10"/>
        <color rgb="FF000000"/>
        <rFont val="Arial"/>
        <family val="2"/>
        <scheme val="minor"/>
      </rPr>
      <t>Customers are more forgiving of wait time than hygeine or food quality</t>
    </r>
  </si>
  <si>
    <t>Wait Time</t>
  </si>
  <si>
    <t>**Employee count is static at 15 all year round**</t>
  </si>
  <si>
    <t>Average</t>
  </si>
  <si>
    <r>
      <t xml:space="preserve">Identified Issue: Static Employee Count &amp; Operational &amp; Training Inefficiency
</t>
    </r>
    <r>
      <rPr>
        <sz val="10"/>
        <color rgb="FF000000"/>
        <rFont val="Arial"/>
        <family val="2"/>
        <scheme val="minor"/>
      </rPr>
      <t xml:space="preserve">1. Static employee count year round can result in redundancy if the employees work efficiently.
2. Operational Inefficiency: </t>
    </r>
    <r>
      <rPr>
        <b/>
        <sz val="10"/>
        <color rgb="FF000000"/>
        <rFont val="Arial"/>
        <family val="2"/>
        <scheme val="minor"/>
      </rPr>
      <t>Month 12</t>
    </r>
    <r>
      <rPr>
        <sz val="10"/>
        <color rgb="FF000000"/>
        <rFont val="Arial"/>
        <family val="2"/>
        <scheme val="minor"/>
      </rPr>
      <t xml:space="preserve"> has </t>
    </r>
    <r>
      <rPr>
        <b/>
        <sz val="10"/>
        <color rgb="FF000000"/>
        <rFont val="Arial"/>
        <family val="2"/>
        <scheme val="minor"/>
      </rPr>
      <t xml:space="preserve">highest customer count with lowest wait time </t>
    </r>
    <r>
      <rPr>
        <sz val="10"/>
        <color rgb="FF000000"/>
        <rFont val="Arial"/>
        <family val="2"/>
        <scheme val="minor"/>
      </rPr>
      <t xml:space="preserve">compared to </t>
    </r>
    <r>
      <rPr>
        <b/>
        <sz val="10"/>
        <color rgb="FF000000"/>
        <rFont val="Arial"/>
        <family val="2"/>
        <scheme val="minor"/>
      </rPr>
      <t>Month 5</t>
    </r>
    <r>
      <rPr>
        <sz val="10"/>
        <color rgb="FF000000"/>
        <rFont val="Arial"/>
        <family val="2"/>
        <scheme val="minor"/>
      </rPr>
      <t xml:space="preserve"> with</t>
    </r>
    <r>
      <rPr>
        <b/>
        <sz val="10"/>
        <color rgb="FF000000"/>
        <rFont val="Arial"/>
        <family val="2"/>
        <scheme val="minor"/>
      </rPr>
      <t xml:space="preserve"> low customer count with highest wait time
Solution:
</t>
    </r>
    <r>
      <rPr>
        <sz val="10"/>
        <color rgb="FF000000"/>
        <rFont val="Arial"/>
        <family val="2"/>
        <scheme val="minor"/>
      </rPr>
      <t>Provide Adequate Training to Employees &amp; Flexible Employee Count to Minimize Costs</t>
    </r>
    <r>
      <rPr>
        <b/>
        <sz val="10"/>
        <color rgb="FF000000"/>
        <rFont val="Arial"/>
        <family val="2"/>
        <scheme val="minor"/>
      </rPr>
      <t xml:space="preserve">
</t>
    </r>
    <r>
      <rPr>
        <sz val="10"/>
        <color rgb="FF000000"/>
        <rFont val="Arial"/>
        <family val="2"/>
        <scheme val="minor"/>
      </rPr>
      <t>and use the average as a baseline as a future KPI</t>
    </r>
    <r>
      <rPr>
        <b/>
        <sz val="10"/>
        <color rgb="FF000000"/>
        <rFont val="Arial"/>
        <family val="2"/>
        <scheme val="minor"/>
      </rPr>
      <t>.</t>
    </r>
  </si>
  <si>
    <t>Original Combined Profit for Items:</t>
  </si>
  <si>
    <t>Discount Rate:</t>
  </si>
  <si>
    <t>Discounted Profit Amount for Combo</t>
  </si>
  <si>
    <t>Assumed % Purchase Rate for Promo</t>
  </si>
  <si>
    <t>Expected Additional Sales</t>
  </si>
  <si>
    <t>Expected Additional Profit</t>
  </si>
  <si>
    <t>Total:</t>
  </si>
  <si>
    <t>Total Food Profit:</t>
  </si>
  <si>
    <t>New Purchase Rate of Food:</t>
  </si>
  <si>
    <t>Profit</t>
  </si>
  <si>
    <t>The Following Calculations are Based On Static Customer Base:</t>
  </si>
  <si>
    <t>Remaining Ticket Purchases (No F&amp;B):</t>
  </si>
  <si>
    <t>Total Estimated Profits:</t>
  </si>
  <si>
    <t>Total Volume of Food Sales</t>
  </si>
  <si>
    <t>Expected Savings in Operational Efficiency:</t>
  </si>
  <si>
    <t>Estimated Total Savings:</t>
  </si>
  <si>
    <t>(Ticket Purchasers and What are they Purchasing in addition)</t>
  </si>
  <si>
    <r>
      <t xml:space="preserve">2. Increase F&amp;B Sales by Hosting Items on Food Delivery Apps for Standalone Purchases
</t>
    </r>
    <r>
      <rPr>
        <b/>
        <i/>
        <sz val="10"/>
        <color rgb="FF000000"/>
        <rFont val="Arial"/>
        <family val="2"/>
        <scheme val="minor"/>
      </rPr>
      <t>**Approximate 25% Increase in Each Item Sales**</t>
    </r>
  </si>
  <si>
    <r>
      <t xml:space="preserve">3. Resolving Food Quality as an Issue Resulting in Boosted Sales for Cinema Customers
</t>
    </r>
    <r>
      <rPr>
        <b/>
        <i/>
        <sz val="10"/>
        <color rgb="FF000000"/>
        <rFont val="Arial"/>
        <family val="2"/>
        <scheme val="minor"/>
      </rPr>
      <t>**Assumption is Once Food Quality Issues are Resolved, Purchase Rate Doubles Potentially**</t>
    </r>
  </si>
  <si>
    <t xml:space="preserve">Total Achieved Number </t>
  </si>
  <si>
    <r>
      <t>1. Cinema Promo for Most Purchased Items (Soda+Popcorn+Ticket) to Replace Indivisual Sales</t>
    </r>
    <r>
      <rPr>
        <b/>
        <i/>
        <sz val="10"/>
        <color rgb="FF000000"/>
        <rFont val="Arial"/>
        <family val="2"/>
        <scheme val="minor"/>
      </rPr>
      <t xml:space="preserve">
**Assuming Customers Purchase Only the Combo Pack without Additional Items**</t>
    </r>
  </si>
  <si>
    <r>
      <t xml:space="preserve">4. Quality and Operational Controls
</t>
    </r>
    <r>
      <rPr>
        <b/>
        <i/>
        <sz val="10"/>
        <color rgb="FF000000"/>
        <rFont val="Arial"/>
        <family val="2"/>
        <scheme val="minor"/>
      </rPr>
      <t>**Training Employees to be Efficient &amp; Reducing Employee Expense**</t>
    </r>
    <r>
      <rPr>
        <b/>
        <sz val="10"/>
        <color rgb="FF000000"/>
        <rFont val="Arial"/>
        <family val="2"/>
        <scheme val="minor"/>
      </rPr>
      <t xml:space="preserve">
</t>
    </r>
    <r>
      <rPr>
        <b/>
        <i/>
        <sz val="10"/>
        <color rgb="FF000000"/>
        <rFont val="Arial"/>
        <family val="2"/>
        <scheme val="minor"/>
      </rPr>
      <t>**Assumption is 7.5% increase in Yearly Profit**</t>
    </r>
  </si>
  <si>
    <t>Customers Per Employee Ratio Daily</t>
  </si>
  <si>
    <t>Daily Cust.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</si>
</sst>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AED&quot;* #,##0.00_-;\-&quot;AED&quot;* #,##0.00_-;_-&quot;AED&quot;* &quot;-&quot;??_-;_-@_-"/>
    <numFmt numFmtId="164" formatCode="_(* #,##0.00_);_(* \(#,##0.00\);_(* &quot;-&quot;??_);_(@_)"/>
    <numFmt numFmtId="165" formatCode="_(* #,##0_);_(* \(#,##0\);_(* &quot;-&quot;??_);_(@_)"/>
    <numFmt numFmtId="166" formatCode="&quot;AED&quot;#,##0.00"/>
    <numFmt numFmtId="167" formatCode="&quot;AED&quot;#,##0.0"/>
  </numFmts>
  <fonts count="20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b/>
      <u/>
      <sz val="12"/>
      <color rgb="FF000000"/>
      <name val="Roboto"/>
    </font>
    <font>
      <b/>
      <sz val="11"/>
      <color rgb="FF000000"/>
      <name val="Calibri"/>
      <family val="2"/>
    </font>
    <font>
      <b/>
      <i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Calibri"/>
      <family val="2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u/>
      <sz val="10"/>
      <color rgb="FF000000"/>
      <name val="Arial"/>
      <family val="2"/>
      <scheme val="minor"/>
    </font>
    <font>
      <b/>
      <u/>
      <sz val="14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rgb="FFB2B2B2"/>
      </bottom>
      <diagonal/>
    </border>
    <border>
      <left/>
      <right/>
      <top style="thin">
        <color theme="4" tint="0.39997558519241921"/>
      </top>
      <bottom style="thin">
        <color rgb="FFB2B2B2"/>
      </bottom>
      <diagonal/>
    </border>
    <border>
      <left style="thin">
        <color theme="4" tint="0.39997558519241921"/>
      </left>
      <right/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3" fillId="4" borderId="23" applyNumberFormat="0" applyFont="0" applyAlignment="0" applyProtection="0"/>
  </cellStyleXfs>
  <cellXfs count="13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164" fontId="2" fillId="0" borderId="2" xfId="1" applyFont="1" applyBorder="1" applyAlignment="1">
      <alignment horizontal="center" vertical="top"/>
    </xf>
    <xf numFmtId="164" fontId="1" fillId="0" borderId="0" xfId="1" applyFont="1" applyAlignment="1">
      <alignment horizontal="right"/>
    </xf>
    <xf numFmtId="164" fontId="0" fillId="0" borderId="0" xfId="1" applyFont="1"/>
    <xf numFmtId="165" fontId="2" fillId="0" borderId="2" xfId="1" applyNumberFormat="1" applyFont="1" applyBorder="1" applyAlignment="1">
      <alignment horizontal="center" vertical="top"/>
    </xf>
    <xf numFmtId="165" fontId="1" fillId="0" borderId="0" xfId="1" applyNumberFormat="1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7" xfId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2" fillId="0" borderId="6" xfId="1" applyNumberFormat="1" applyFont="1" applyBorder="1" applyAlignment="1">
      <alignment horizontal="center" vertical="center"/>
    </xf>
    <xf numFmtId="164" fontId="2" fillId="0" borderId="6" xfId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166" fontId="0" fillId="0" borderId="0" xfId="0" applyNumberForma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5" xfId="0" applyFont="1" applyBorder="1"/>
    <xf numFmtId="0" fontId="8" fillId="0" borderId="0" xfId="0" applyFont="1"/>
    <xf numFmtId="0" fontId="4" fillId="0" borderId="0" xfId="0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7" fillId="0" borderId="4" xfId="0" applyFont="1" applyBorder="1" applyAlignment="1">
      <alignment horizontal="center" vertical="top"/>
    </xf>
    <xf numFmtId="164" fontId="7" fillId="0" borderId="7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11" fillId="0" borderId="0" xfId="0" applyFont="1"/>
    <xf numFmtId="166" fontId="10" fillId="0" borderId="0" xfId="0" applyNumberFormat="1" applyFont="1" applyAlignment="1">
      <alignment horizontal="center" vertical="center"/>
    </xf>
    <xf numFmtId="0" fontId="7" fillId="0" borderId="9" xfId="0" applyFont="1" applyBorder="1" applyAlignment="1">
      <alignment horizontal="center" vertical="top"/>
    </xf>
    <xf numFmtId="2" fontId="11" fillId="0" borderId="6" xfId="0" applyNumberFormat="1" applyFont="1" applyBorder="1" applyAlignment="1">
      <alignment horizontal="center" vertical="center"/>
    </xf>
    <xf numFmtId="0" fontId="14" fillId="0" borderId="14" xfId="0" applyFont="1" applyBorder="1"/>
    <xf numFmtId="10" fontId="14" fillId="0" borderId="15" xfId="0" applyNumberFormat="1" applyFont="1" applyBorder="1"/>
    <xf numFmtId="0" fontId="14" fillId="0" borderId="16" xfId="0" applyFont="1" applyBorder="1"/>
    <xf numFmtId="166" fontId="14" fillId="0" borderId="17" xfId="0" applyNumberFormat="1" applyFont="1" applyBorder="1"/>
    <xf numFmtId="166" fontId="14" fillId="0" borderId="15" xfId="0" applyNumberFormat="1" applyFont="1" applyBorder="1"/>
    <xf numFmtId="10" fontId="0" fillId="0" borderId="0" xfId="0" applyNumberForma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10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1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2" borderId="18" xfId="0" applyFont="1" applyFill="1" applyBorder="1"/>
    <xf numFmtId="0" fontId="12" fillId="0" borderId="18" xfId="0" applyFont="1" applyBorder="1"/>
    <xf numFmtId="10" fontId="12" fillId="2" borderId="18" xfId="0" applyNumberFormat="1" applyFont="1" applyFill="1" applyBorder="1" applyAlignment="1">
      <alignment horizontal="center" vertical="center"/>
    </xf>
    <xf numFmtId="10" fontId="12" fillId="0" borderId="18" xfId="0" applyNumberFormat="1" applyFont="1" applyBorder="1" applyAlignment="1">
      <alignment horizontal="center" vertical="center"/>
    </xf>
    <xf numFmtId="0" fontId="15" fillId="3" borderId="0" xfId="0" applyFont="1" applyFill="1"/>
    <xf numFmtId="10" fontId="15" fillId="3" borderId="0" xfId="0" applyNumberFormat="1" applyFont="1" applyFill="1" applyAlignment="1">
      <alignment horizontal="center" vertical="center"/>
    </xf>
    <xf numFmtId="0" fontId="12" fillId="2" borderId="24" xfId="0" applyFont="1" applyFill="1" applyBorder="1"/>
    <xf numFmtId="0" fontId="12" fillId="2" borderId="29" xfId="0" applyFont="1" applyFill="1" applyBorder="1"/>
    <xf numFmtId="167" fontId="0" fillId="0" borderId="0" xfId="0" applyNumberFormat="1"/>
    <xf numFmtId="10" fontId="0" fillId="0" borderId="0" xfId="0" applyNumberFormat="1"/>
    <xf numFmtId="44" fontId="0" fillId="0" borderId="0" xfId="0" applyNumberFormat="1"/>
    <xf numFmtId="1" fontId="14" fillId="0" borderId="35" xfId="0" applyNumberFormat="1" applyFont="1" applyBorder="1" applyAlignment="1">
      <alignment horizontal="center" vertical="center"/>
    </xf>
    <xf numFmtId="1" fontId="12" fillId="2" borderId="29" xfId="0" applyNumberFormat="1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5" fillId="3" borderId="18" xfId="0" applyFont="1" applyFill="1" applyBorder="1" applyAlignment="1">
      <alignment horizontal="center"/>
    </xf>
    <xf numFmtId="0" fontId="15" fillId="3" borderId="18" xfId="0" applyFont="1" applyFill="1" applyBorder="1"/>
    <xf numFmtId="0" fontId="15" fillId="3" borderId="27" xfId="0" applyFont="1" applyFill="1" applyBorder="1"/>
    <xf numFmtId="0" fontId="12" fillId="2" borderId="26" xfId="0" applyFont="1" applyFill="1" applyBorder="1"/>
    <xf numFmtId="1" fontId="12" fillId="2" borderId="18" xfId="0" applyNumberFormat="1" applyFont="1" applyFill="1" applyBorder="1" applyAlignment="1">
      <alignment horizontal="center"/>
    </xf>
    <xf numFmtId="0" fontId="12" fillId="0" borderId="26" xfId="0" applyFont="1" applyBorder="1"/>
    <xf numFmtId="1" fontId="12" fillId="0" borderId="18" xfId="0" applyNumberFormat="1" applyFont="1" applyBorder="1" applyAlignment="1">
      <alignment horizontal="center"/>
    </xf>
    <xf numFmtId="44" fontId="11" fillId="4" borderId="23" xfId="2" applyNumberFormat="1" applyFont="1"/>
    <xf numFmtId="44" fontId="11" fillId="4" borderId="23" xfId="2" applyNumberFormat="1" applyFont="1" applyAlignment="1">
      <alignment horizontal="right"/>
    </xf>
    <xf numFmtId="44" fontId="11" fillId="4" borderId="36" xfId="2" applyNumberFormat="1" applyFont="1" applyBorder="1" applyAlignment="1">
      <alignment horizontal="right"/>
    </xf>
    <xf numFmtId="165" fontId="12" fillId="2" borderId="29" xfId="1" applyNumberFormat="1" applyFont="1" applyFill="1" applyBorder="1" applyAlignment="1">
      <alignment horizontal="center"/>
    </xf>
    <xf numFmtId="10" fontId="12" fillId="2" borderId="29" xfId="1" applyNumberFormat="1" applyFont="1" applyFill="1" applyBorder="1" applyAlignment="1">
      <alignment horizontal="right"/>
    </xf>
    <xf numFmtId="10" fontId="12" fillId="2" borderId="25" xfId="0" applyNumberFormat="1" applyFont="1" applyFill="1" applyBorder="1"/>
    <xf numFmtId="2" fontId="12" fillId="0" borderId="25" xfId="0" applyNumberFormat="1" applyFont="1" applyBorder="1"/>
    <xf numFmtId="44" fontId="12" fillId="2" borderId="25" xfId="0" applyNumberFormat="1" applyFont="1" applyFill="1" applyBorder="1"/>
    <xf numFmtId="44" fontId="12" fillId="0" borderId="27" xfId="0" applyNumberFormat="1" applyFont="1" applyBorder="1"/>
    <xf numFmtId="44" fontId="12" fillId="2" borderId="27" xfId="0" applyNumberFormat="1" applyFont="1" applyFill="1" applyBorder="1"/>
    <xf numFmtId="0" fontId="5" fillId="0" borderId="14" xfId="0" applyFont="1" applyBorder="1"/>
    <xf numFmtId="10" fontId="5" fillId="0" borderId="15" xfId="0" applyNumberFormat="1" applyFont="1" applyBorder="1"/>
    <xf numFmtId="0" fontId="5" fillId="0" borderId="16" xfId="0" applyFont="1" applyBorder="1"/>
    <xf numFmtId="0" fontId="11" fillId="0" borderId="16" xfId="0" applyFont="1" applyBorder="1"/>
    <xf numFmtId="44" fontId="5" fillId="0" borderId="15" xfId="0" applyNumberFormat="1" applyFont="1" applyBorder="1"/>
    <xf numFmtId="44" fontId="11" fillId="0" borderId="15" xfId="0" applyNumberFormat="1" applyFont="1" applyBorder="1"/>
    <xf numFmtId="10" fontId="18" fillId="2" borderId="18" xfId="0" applyNumberFormat="1" applyFont="1" applyFill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1" fillId="0" borderId="10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1" fillId="0" borderId="2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21" xfId="0" applyFont="1" applyBorder="1" applyAlignment="1">
      <alignment horizontal="left" vertical="top" wrapText="1"/>
    </xf>
    <xf numFmtId="0" fontId="11" fillId="0" borderId="12" xfId="0" applyFont="1" applyBorder="1" applyAlignment="1">
      <alignment horizontal="left" vertical="top" wrapText="1"/>
    </xf>
    <xf numFmtId="0" fontId="11" fillId="0" borderId="22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33" xfId="0" applyFont="1" applyBorder="1" applyAlignment="1">
      <alignment horizontal="center"/>
    </xf>
    <xf numFmtId="0" fontId="13" fillId="0" borderId="34" xfId="0" applyFont="1" applyBorder="1" applyAlignment="1">
      <alignment horizontal="center"/>
    </xf>
    <xf numFmtId="44" fontId="11" fillId="4" borderId="36" xfId="2" applyNumberFormat="1" applyFont="1" applyBorder="1" applyAlignment="1">
      <alignment horizontal="right"/>
    </xf>
    <xf numFmtId="44" fontId="11" fillId="4" borderId="38" xfId="2" applyNumberFormat="1" applyFont="1" applyBorder="1" applyAlignment="1">
      <alignment horizontal="right"/>
    </xf>
    <xf numFmtId="0" fontId="11" fillId="0" borderId="10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4" borderId="36" xfId="2" applyFont="1" applyBorder="1" applyAlignment="1">
      <alignment horizontal="right"/>
    </xf>
    <xf numFmtId="0" fontId="11" fillId="4" borderId="37" xfId="2" applyFont="1" applyBorder="1" applyAlignment="1">
      <alignment horizontal="right"/>
    </xf>
    <xf numFmtId="0" fontId="11" fillId="4" borderId="38" xfId="2" applyFont="1" applyBorder="1" applyAlignment="1">
      <alignment horizontal="right"/>
    </xf>
    <xf numFmtId="0" fontId="12" fillId="0" borderId="24" xfId="0" applyFont="1" applyBorder="1" applyAlignment="1">
      <alignment horizontal="left"/>
    </xf>
    <xf numFmtId="0" fontId="12" fillId="0" borderId="29" xfId="0" applyFont="1" applyBorder="1" applyAlignment="1">
      <alignment horizontal="left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8" fillId="2" borderId="39" xfId="0" applyFont="1" applyFill="1" applyBorder="1" applyAlignment="1">
      <alignment horizontal="center"/>
    </xf>
    <xf numFmtId="0" fontId="18" fillId="2" borderId="40" xfId="0" applyFont="1" applyFill="1" applyBorder="1" applyAlignment="1">
      <alignment horizontal="center"/>
    </xf>
    <xf numFmtId="165" fontId="12" fillId="2" borderId="41" xfId="1" applyNumberFormat="1" applyFont="1" applyFill="1" applyBorder="1" applyAlignment="1">
      <alignment horizontal="center"/>
    </xf>
    <xf numFmtId="165" fontId="12" fillId="2" borderId="37" xfId="1" applyNumberFormat="1" applyFont="1" applyFill="1" applyBorder="1" applyAlignment="1">
      <alignment horizontal="center"/>
    </xf>
    <xf numFmtId="165" fontId="12" fillId="2" borderId="39" xfId="1" applyNumberFormat="1" applyFont="1" applyFill="1" applyBorder="1" applyAlignment="1">
      <alignment horizontal="center"/>
    </xf>
    <xf numFmtId="165" fontId="12" fillId="2" borderId="40" xfId="1" applyNumberFormat="1" applyFont="1" applyFill="1" applyBorder="1" applyAlignment="1">
      <alignment horizontal="center"/>
    </xf>
    <xf numFmtId="0" fontId="0" fillId="0" borderId="28" xfId="0" applyBorder="1" applyAlignment="1">
      <alignment horizontal="center"/>
    </xf>
  </cellXfs>
  <cellStyles count="3">
    <cellStyle name="Comma" xfId="1" builtinId="3"/>
    <cellStyle name="Normal" xfId="0" builtinId="0"/>
    <cellStyle name="Note" xfId="2" builtinId="10"/>
  </cellStyles>
  <dxfs count="46"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z val="11"/>
        <name val="Calibri"/>
        <scheme val="none"/>
      </font>
      <numFmt numFmtId="166" formatCode="&quot;AED&quot;#,##0.00"/>
      <alignment horizontal="center" vertical="center" textRotation="0" wrapText="0" indent="0" justifyLastLine="0" shrinkToFit="0" readingOrder="0"/>
    </dxf>
    <dxf>
      <numFmt numFmtId="166" formatCode="&quot;AED&quot;#,##0.00"/>
      <alignment horizontal="center" vertical="center" textRotation="0" wrapText="0" indent="0" justifyLastLine="0" shrinkToFit="0" readingOrder="0"/>
    </dxf>
    <dxf>
      <numFmt numFmtId="166" formatCode="&quot;AED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6" formatCode="&quot;AED&quot;#,##0.00"/>
      <alignment horizontal="center" vertical="center" textRotation="0" wrapText="0" indent="0" justifyLastLine="0" shrinkToFit="0" readingOrder="0"/>
    </dxf>
    <dxf>
      <numFmt numFmtId="166" formatCode="&quot;AED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66" formatCode="&quot;AED&quot;#,##0.00"/>
      <alignment horizontal="center" vertical="center" textRotation="0" wrapText="0" indent="0" justifyLastLine="0" shrinkToFit="0" readingOrder="0"/>
    </dxf>
    <dxf>
      <numFmt numFmtId="166" formatCode="&quot;AED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166" formatCode="&quot;AED&quot;#,##0.00"/>
      <alignment horizontal="center" vertical="center" textRotation="0" wrapText="0" indent="0" justifyLastLine="0" shrinkToFit="0" readingOrder="0"/>
    </dxf>
    <dxf>
      <numFmt numFmtId="166" formatCode="&quot;AED&quot;#,##0.00"/>
      <alignment horizontal="center" vertical="center" textRotation="0" wrapText="0" indent="0" justifyLastLine="0" shrinkToFit="0" readingOrder="0"/>
    </dxf>
    <dxf>
      <numFmt numFmtId="166" formatCode="&quot;AED&quot;#,##0.00"/>
      <alignment horizontal="center" vertical="center" textRotation="0" wrapText="0" indent="0" justifyLastLine="0" shrinkToFit="0" readingOrder="0"/>
    </dxf>
    <dxf>
      <numFmt numFmtId="166" formatCode="&quot;AED&quot;#,##0.00"/>
      <alignment horizontal="center" vertical="center" textRotation="0" wrapText="0" indent="0" justifyLastLine="0" shrinkToFit="0" readingOrder="0"/>
    </dxf>
    <dxf>
      <numFmt numFmtId="166" formatCode="&quot;AED&quot;#,##0.00"/>
      <alignment horizontal="center" vertical="center" textRotation="0" wrapText="0" indent="0" justifyLastLine="0" shrinkToFit="0" readingOrder="0"/>
    </dxf>
    <dxf>
      <numFmt numFmtId="166" formatCode="&quot;AED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diagonalUp="1">
        <left style="thin">
          <color auto="1"/>
        </left>
        <right style="thin">
          <color auto="1"/>
        </right>
        <top/>
        <bottom/>
        <diagonal style="thin">
          <color auto="1"/>
        </diagonal>
        <vertical style="thin">
          <color auto="1"/>
        </vertical>
        <horizontal/>
      </border>
    </dxf>
  </dxfs>
  <tableStyles count="1" defaultTableStyle="TableStyleMedium2" defaultPivotStyle="PivotStyleLight16">
    <tableStyle name="Table Style 1" pivot="0" count="1" xr9:uid="{4864D6E8-E317-44CA-BF98-BD6F52F91541}">
      <tableStyleElement type="wholeTable" dxfId="4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el" refreshedDate="46194.708441087962" createdVersion="8" refreshedVersion="8" minRefreshableVersion="3" recordCount="12" xr:uid="{9032106B-C2D3-45EF-8823-53275DEDF627}">
  <cacheSource type="worksheet">
    <worksheetSource name="Table3"/>
  </cacheSource>
  <cacheFields count="14"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ly Ticket Profit" numFmtId="166">
      <sharedItems containsSemiMixedTypes="0" containsString="0" containsNumber="1" minValue="6691.666666666667" maxValue="34935.71428571429"/>
    </cacheField>
    <cacheField name="Monthly Popcorn Profit" numFmtId="166">
      <sharedItems containsSemiMixedTypes="0" containsString="0" containsNumber="1" minValue="2696.2202380952385" maxValue="18485.729166666672"/>
    </cacheField>
    <cacheField name="Monthly Soda Profit" numFmtId="166">
      <sharedItems containsSemiMixedTypes="0" containsString="0" containsNumber="1" minValue="1596.8750000000002" maxValue="11265.029761904763"/>
    </cacheField>
    <cacheField name="Monthly Food Profit" numFmtId="166">
      <sharedItems containsSemiMixedTypes="0" containsString="0" containsNumber="1" minValue="1016.7857142857144" maxValue="6413.5714285714303"/>
    </cacheField>
    <cacheField name="Total Month Profit" numFmtId="166">
      <sharedItems containsSemiMixedTypes="0" containsString="0" containsNumber="1" minValue="13793.958333333334" maxValue="69053.437500000015"/>
    </cacheField>
    <cacheField name="Waiting Time" numFmtId="0">
      <sharedItems containsSemiMixedTypes="0" containsString="0" containsNumber="1" containsInteger="1" minValue="5" maxValue="25"/>
    </cacheField>
    <cacheField name="CSAT" numFmtId="0">
      <sharedItems containsSemiMixedTypes="0" containsString="0" containsNumber="1" containsInteger="1" minValue="1" maxValue="8" count="7">
        <n v="6"/>
        <n v="7"/>
        <n v="1"/>
        <n v="3"/>
        <n v="8"/>
        <n v="2"/>
        <n v="4"/>
      </sharedItems>
    </cacheField>
    <cacheField name="Main Detractors (Original)" numFmtId="166">
      <sharedItems/>
    </cacheField>
    <cacheField name="Main Detractors (Derived)" numFmtId="166">
      <sharedItems count="3">
        <s v="Cinema Hygeine"/>
        <s v="Waiting time"/>
        <s v="Food quality"/>
      </sharedItems>
    </cacheField>
    <cacheField name="Monthly Customers" numFmtId="1">
      <sharedItems containsSemiMixedTypes="0" containsString="0" containsNumber="1" minValue="1338.3333333333335" maxValue="6987.1428571428578"/>
    </cacheField>
    <cacheField name="Monthly Popcorn Sales" numFmtId="1">
      <sharedItems containsSemiMixedTypes="0" containsString="0" containsNumber="1" minValue="634.40476190476204" maxValue="4349.5833333333339"/>
    </cacheField>
    <cacheField name="Monthly Soda Sales" numFmtId="1">
      <sharedItems containsSemiMixedTypes="0" containsString="0" containsNumber="1" minValue="638.75000000000011" maxValue="4506.0119047619055"/>
    </cacheField>
    <cacheField name="Monthly Food Sales" numFmtId="1">
      <sharedItems containsSemiMixedTypes="0" containsString="0" containsNumber="1" minValue="169.46428571428572" maxValue="1068.92857142857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8554.166666666668"/>
    <n v="4893.8244047619055"/>
    <n v="3041.666666666667"/>
    <n v="3519.6428571428578"/>
    <n v="30009.300595238099"/>
    <n v="12"/>
    <x v="0"/>
    <s v="Cleanliness of the room"/>
    <x v="0"/>
    <n v="3710.8333333333339"/>
    <n v="1151.4880952380954"/>
    <n v="1216.6666666666667"/>
    <n v="586.60714285714289"/>
  </r>
  <r>
    <x v="1"/>
    <n v="24724.404761904763"/>
    <n v="18485.729166666672"/>
    <n v="11221.577380952382"/>
    <n v="5970.357142857144"/>
    <n v="60402.068452380961"/>
    <n v="21"/>
    <x v="1"/>
    <s v="Waiting time"/>
    <x v="1"/>
    <n v="4944.8809523809532"/>
    <n v="4349.5833333333339"/>
    <n v="4488.6309523809532"/>
    <n v="995.05952380952397"/>
  </r>
  <r>
    <x v="2"/>
    <n v="10233.035714285716"/>
    <n v="7645.4464285714303"/>
    <n v="5170.8333333333339"/>
    <n v="2372.5000000000005"/>
    <n v="25421.815476190481"/>
    <n v="8"/>
    <x v="2"/>
    <s v="Food quality"/>
    <x v="2"/>
    <n v="2046.6071428571431"/>
    <n v="1798.9285714285716"/>
    <n v="2068.3333333333335"/>
    <n v="395.41666666666674"/>
  </r>
  <r>
    <x v="3"/>
    <n v="22030.357142857145"/>
    <n v="3176.3690476190482"/>
    <n v="2031.3988095238096"/>
    <n v="2659.2857142857147"/>
    <n v="29897.410714285717"/>
    <n v="21"/>
    <x v="3"/>
    <s v="Cleanliness of the room"/>
    <x v="0"/>
    <n v="4406.0714285714294"/>
    <n v="747.38095238095252"/>
    <n v="812.55952380952397"/>
    <n v="443.21428571428578"/>
  </r>
  <r>
    <x v="4"/>
    <n v="20835.416666666668"/>
    <n v="14349.062500000004"/>
    <n v="9396.5773809523816"/>
    <n v="2815.7142857142862"/>
    <n v="47396.770833333343"/>
    <n v="25"/>
    <x v="4"/>
    <s v="Waiting time"/>
    <x v="1"/>
    <n v="4167.0833333333339"/>
    <n v="3376.2500000000005"/>
    <n v="3758.6309523809527"/>
    <n v="469.28571428571433"/>
  </r>
  <r>
    <x v="5"/>
    <n v="31046.726190476194"/>
    <n v="15050.818452380956"/>
    <n v="9266.2202380952385"/>
    <n v="6413.5714285714303"/>
    <n v="61777.336309523816"/>
    <n v="10"/>
    <x v="5"/>
    <s v="Food quality"/>
    <x v="2"/>
    <n v="6209.3452380952385"/>
    <n v="3541.3690476190482"/>
    <n v="3706.4880952380959"/>
    <n v="1068.9285714285716"/>
  </r>
  <r>
    <x v="6"/>
    <n v="21117.857142857145"/>
    <n v="2696.2202380952385"/>
    <n v="1596.8750000000002"/>
    <n v="5005.7142857142862"/>
    <n v="30416.666666666668"/>
    <n v="15"/>
    <x v="5"/>
    <s v="Smell in the room"/>
    <x v="0"/>
    <n v="4223.5714285714294"/>
    <n v="634.40476190476204"/>
    <n v="638.75000000000011"/>
    <n v="834.28571428571445"/>
  </r>
  <r>
    <x v="7"/>
    <n v="18706.25"/>
    <n v="9215.1636904761926"/>
    <n v="5485.8630952380954"/>
    <n v="5005.7142857142862"/>
    <n v="38412.99107142858"/>
    <n v="8"/>
    <x v="3"/>
    <s v="Food quality"/>
    <x v="2"/>
    <n v="3741.2500000000005"/>
    <n v="2168.2738095238096"/>
    <n v="2194.3452380952385"/>
    <n v="834.28571428571445"/>
  </r>
  <r>
    <x v="8"/>
    <n v="6691.666666666667"/>
    <n v="3804.2559523809532"/>
    <n v="2281.25"/>
    <n v="1016.7857142857144"/>
    <n v="13793.958333333334"/>
    <n v="6"/>
    <x v="0"/>
    <s v="Cleanliness of the room"/>
    <x v="0"/>
    <n v="1338.3333333333335"/>
    <n v="895.11904761904771"/>
    <n v="912.50000000000011"/>
    <n v="169.46428571428572"/>
  </r>
  <r>
    <x v="9"/>
    <n v="26049.702380952382"/>
    <n v="18153.318452380958"/>
    <n v="11265.029761904763"/>
    <n v="4197.5000000000009"/>
    <n v="59665.550595238106"/>
    <n v="18"/>
    <x v="1"/>
    <s v="Waiting time"/>
    <x v="1"/>
    <n v="5209.9404761904771"/>
    <n v="4271.3690476190477"/>
    <n v="4506.0119047619055"/>
    <n v="699.58333333333337"/>
  </r>
  <r>
    <x v="10"/>
    <n v="21965.178571428572"/>
    <n v="6537.4107142857156"/>
    <n v="4269.1964285714294"/>
    <n v="2867.8571428571436"/>
    <n v="35639.642857142862"/>
    <n v="5"/>
    <x v="3"/>
    <s v="Food quality"/>
    <x v="2"/>
    <n v="4393.0357142857147"/>
    <n v="1538.214285714286"/>
    <n v="1707.6785714285716"/>
    <n v="477.97619047619054"/>
  </r>
  <r>
    <x v="11"/>
    <n v="34935.71428571429"/>
    <n v="17229.955357142862"/>
    <n v="10917.410714285716"/>
    <n v="5970.357142857144"/>
    <n v="69053.437500000015"/>
    <n v="7"/>
    <x v="6"/>
    <s v="Cleanliness of the room"/>
    <x v="0"/>
    <n v="6987.1428571428578"/>
    <n v="4054.1071428571436"/>
    <n v="4366.9642857142862"/>
    <n v="995.059523809523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821C89-121A-4D9A-80B1-93501302150F}" name="PivotTable2" cacheId="0" applyNumberFormats="0" applyBorderFormats="0" applyFontFormats="0" applyPatternFormats="0" applyAlignmentFormats="0" applyWidthHeightFormats="1" dataCaption="Values" grandTotalCaption="CSAT Avg" updatedVersion="8" minRefreshableVersion="3" useAutoFormatting="1" itemPrintTitles="1" createdVersion="8" indent="0" outline="1" outlineData="1" multipleFieldFilters="0" rowHeaderCaption="Detractors">
  <location ref="B25:C29" firstHeaderRow="1" firstDataRow="1" firstDataCol="1"/>
  <pivotFields count="14">
    <pivotField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dataField="1" showAll="0">
      <items count="8">
        <item x="2"/>
        <item x="5"/>
        <item x="3"/>
        <item x="6"/>
        <item x="0"/>
        <item x="1"/>
        <item x="4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numFmtId="1" showAll="0"/>
    <pivotField numFmtId="1" showAll="0"/>
    <pivotField numFmtId="1" showAll="0"/>
    <pivotField numFmtId="1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SAT" fld="7" subtotal="average" baseField="9" baseItem="0" numFmtId="2"/>
  </dataFields>
  <formats count="4">
    <format dxfId="44">
      <pivotArea collapsedLevelsAreSubtotals="1" fieldPosition="0">
        <references count="1">
          <reference field="9" count="1">
            <x v="2"/>
          </reference>
        </references>
      </pivotArea>
    </format>
    <format dxfId="43">
      <pivotArea grandRow="1" outline="0" collapsedLevelsAreSubtotals="1" fieldPosition="0"/>
    </format>
    <format dxfId="42">
      <pivotArea collapsedLevelsAreSubtotals="1" fieldPosition="0">
        <references count="1">
          <reference field="9" count="1">
            <x v="0"/>
          </reference>
        </references>
      </pivotArea>
    </format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EE68BE-7E15-4398-85BE-A165118A4EBF}" name="Table3" displayName="Table3" ref="B13:O26" totalsRowCount="1" headerRowDxfId="30" headerRowBorderDxfId="29" tableBorderDxfId="28">
  <autoFilter ref="B13:O25" xr:uid="{98EE68BE-7E15-4398-85BE-A165118A4EBF}"/>
  <sortState xmlns:xlrd2="http://schemas.microsoft.com/office/spreadsheetml/2017/richdata2" ref="B14:O25">
    <sortCondition ref="B13:B25"/>
  </sortState>
  <tableColumns count="14">
    <tableColumn id="1" xr3:uid="{13369F0F-3AB1-4E19-AEA4-74AB8FA4AC07}" name="Month" totalsRowLabel="SUM" dataDxfId="27" totalsRowDxfId="26"/>
    <tableColumn id="2" xr3:uid="{91C05C52-F979-405E-83F8-F4F4FB8334A7}" name="Monthly Ticket Profit" totalsRowFunction="sum" dataDxfId="25" totalsRowDxfId="24">
      <calculatedColumnFormula>$J$8*$C$8*'Original Data'!B2</calculatedColumnFormula>
    </tableColumn>
    <tableColumn id="3" xr3:uid="{05F66680-ABCF-4596-8230-023C8649C9B7}" name="Monthly Popcorn Profit" totalsRowFunction="sum" dataDxfId="23" totalsRowDxfId="22">
      <calculatedColumnFormula>$J$8*$D$8*'Original Data'!C2</calculatedColumnFormula>
    </tableColumn>
    <tableColumn id="4" xr3:uid="{6297BAA9-424E-4D87-AC2F-4849FC81D718}" name="Monthly Soda Profit" totalsRowFunction="sum" dataDxfId="21" totalsRowDxfId="20">
      <calculatedColumnFormula>$J$8*$E$8*'Original Data'!D2</calculatedColumnFormula>
    </tableColumn>
    <tableColumn id="5" xr3:uid="{E82A0C0E-5460-4577-999A-BE35AE65B55E}" name="Monthly Food Profit" totalsRowFunction="custom" dataDxfId="19" totalsRowDxfId="18">
      <calculatedColumnFormula>$J$8*$F$8*'Original Data'!E2</calculatedColumnFormula>
      <totalsRowFormula>SUM(Table3[Monthly Food Profit])</totalsRowFormula>
    </tableColumn>
    <tableColumn id="6" xr3:uid="{68C8FE79-3376-4D6A-B586-4E64258C3F48}" name="Total Month Profit" totalsRowFunction="custom" dataDxfId="17" totalsRowDxfId="16">
      <calculatedColumnFormula>SUM(C14:F14)</calculatedColumnFormula>
      <totalsRowFormula>SUM(Table3[Total Month Profit])</totalsRowFormula>
    </tableColumn>
    <tableColumn id="11" xr3:uid="{0D0C992D-E3FB-4279-8159-B38D227BC07E}" name="Waiting Time" dataDxfId="15" totalsRowDxfId="14"/>
    <tableColumn id="12" xr3:uid="{CCFC953D-DEC7-45DD-8448-2016D119E477}" name="CSAT" dataDxfId="13" totalsRowDxfId="12"/>
    <tableColumn id="13" xr3:uid="{FD5BCCE2-C2F1-4E05-91AD-79E2113FD122}" name="Main Detractors (Original)" dataDxfId="11" totalsRowDxfId="10"/>
    <tableColumn id="7" xr3:uid="{F572158B-F5CA-447F-AAC5-11DB2B9C27F3}" name="Main Detractors (Derived)" dataDxfId="9" totalsRowDxfId="8"/>
    <tableColumn id="9" xr3:uid="{31BB3ADD-02EA-44ED-87EE-8A8908420295}" name="Monthly Customers" totalsRowFunction="custom" dataDxfId="7" totalsRowDxfId="6">
      <calculatedColumnFormula>'Original Data'!B2*$J$8</calculatedColumnFormula>
      <totalsRowFormula>SUM(Table3[Monthly Customers])</totalsRowFormula>
    </tableColumn>
    <tableColumn id="10" xr3:uid="{00FD6420-2D19-46EC-AC28-02A996E479ED}" name="Monthly Popcorn Sales" totalsRowFunction="custom" dataDxfId="5" totalsRowDxfId="4">
      <calculatedColumnFormula>'Original Data'!C2*$J$8</calculatedColumnFormula>
      <totalsRowFormula>SUM(Table3[Monthly Popcorn Sales])</totalsRowFormula>
    </tableColumn>
    <tableColumn id="14" xr3:uid="{95BBC102-F817-4660-85A8-658300664494}" name="Monthly Soda Sales" totalsRowFunction="custom" dataDxfId="3" totalsRowDxfId="2">
      <calculatedColumnFormula>'Original Data'!D2*$J$8</calculatedColumnFormula>
      <totalsRowFormula>SUM(Table3[Monthly Soda Sales])</totalsRowFormula>
    </tableColumn>
    <tableColumn id="15" xr3:uid="{C2D64A4B-4C7D-4EF8-BDF8-0739120165FA}" name="Monthly Food Sales" totalsRowFunction="custom" dataDxfId="1" totalsRowDxfId="0">
      <calculatedColumnFormula>'Original Data'!E2*$J$8</calculatedColumnFormula>
      <totalsRowFormula>SUM(Table3[Monthly Food Sales])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0740D7-29AD-4637-B62D-F9179738F5B7}" name="Table1" displayName="Table1" ref="B11:C15" totalsRowShown="0">
  <autoFilter ref="B11:C15" xr:uid="{F60740D7-29AD-4637-B62D-F9179738F5B7}"/>
  <tableColumns count="2">
    <tableColumn id="1" xr3:uid="{26905DF3-F256-4440-8A7B-0031322D227F}" name="Item" dataDxfId="40"/>
    <tableColumn id="2" xr3:uid="{CBB190AA-C096-4F28-B909-6EDE53B89FD9}" name="Precentage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3B47FE-4CDD-4A56-8FDF-2DB5B920508F}" name="Table2" displayName="Table2" ref="B6:C8" totalsRowShown="0">
  <autoFilter ref="B6:C8" xr:uid="{643B47FE-4CDD-4A56-8FDF-2DB5B920508F}"/>
  <tableColumns count="2">
    <tableColumn id="1" xr3:uid="{668963EA-2F77-4C89-B864-BC7EABD4C495}" name="Division" dataDxfId="38"/>
    <tableColumn id="2" xr3:uid="{56F5A29F-2C60-44B1-B952-B67616A3BE18}" name="Precentage" dataDxfId="37">
      <calculatedColumnFormula>SUM(Table3[[#Totals],[Monthly Popcorn Profit]:[Monthly Food Profit]])/Table3[[#Totals],[Total Month Profit]]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9D13BE-EE33-4006-9AAD-ED72E0393CF5}" name="Table6" displayName="Table6" ref="B33:E46" totalsRowShown="0" headerRowDxfId="36">
  <autoFilter ref="B33:E46" xr:uid="{9E9D13BE-EE33-4006-9AAD-ED72E0393CF5}"/>
  <tableColumns count="4">
    <tableColumn id="1" xr3:uid="{E5465A40-2F55-4000-B9D7-F62866409E8C}" name="Months" dataDxfId="35"/>
    <tableColumn id="2" xr3:uid="{AD653C3E-1E96-4651-A710-CC0B82BD0BE2}" name="Customers/Employee Ratio" dataDxfId="34">
      <calculatedColumnFormula>('Monthly Profit &amp; Refined Data'!L14/'Monthly Profit &amp; Refined Data'!$G$8)/30</calculatedColumnFormula>
    </tableColumn>
    <tableColumn id="3" xr3:uid="{33CEF8CF-DC1E-41E8-AB58-1DB87F34FA72}" name="Daily Cust." dataDxfId="33">
      <calculatedColumnFormula>'Monthly Profit &amp; Refined Data'!L14/30</calculatedColumnFormula>
    </tableColumn>
    <tableColumn id="4" xr3:uid="{F8EB7C1E-9F37-4719-8CCB-1C9BD6E943A2}" name="Wait Time" dataDxfId="32">
      <calculatedColumnFormula>'Monthly Profit &amp; Refined Data'!H14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5E2AAB-3BB9-42DA-8DAA-BE8EEE60E497}" name="Table7" displayName="Table7" ref="B19:C22" totalsRowShown="0" tableBorderDxfId="31">
  <autoFilter ref="B19:C22" xr:uid="{615E2AAB-3BB9-42DA-8DAA-BE8EEE60E497}"/>
  <tableColumns count="2">
    <tableColumn id="1" xr3:uid="{BE6F9202-9809-4243-9B84-6E29FA9FCCCA}" name="Item"/>
    <tableColumn id="2" xr3:uid="{FB0328F1-1914-4F3C-A11F-187CF6CC50AB}" name="Pre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3"/>
  <sheetViews>
    <sheetView workbookViewId="0">
      <selection activeCell="B11" sqref="B11"/>
    </sheetView>
  </sheetViews>
  <sheetFormatPr defaultColWidth="12.6640625" defaultRowHeight="15.75" customHeight="1" x14ac:dyDescent="0.25"/>
  <cols>
    <col min="1" max="1" width="20.6640625" bestFit="1" customWidth="1"/>
    <col min="2" max="2" width="81" bestFit="1" customWidth="1"/>
  </cols>
  <sheetData>
    <row r="1" spans="1:2" ht="15.75" customHeight="1" x14ac:dyDescent="0.3">
      <c r="A1" s="1" t="s">
        <v>0</v>
      </c>
      <c r="B1" s="1" t="s">
        <v>1</v>
      </c>
    </row>
    <row r="2" spans="1:2" ht="15.75" customHeight="1" x14ac:dyDescent="0.3">
      <c r="A2" s="1" t="s">
        <v>2</v>
      </c>
      <c r="B2" s="1" t="s">
        <v>3</v>
      </c>
    </row>
    <row r="3" spans="1:2" ht="15.75" customHeight="1" x14ac:dyDescent="0.3">
      <c r="A3" s="1" t="s">
        <v>4</v>
      </c>
      <c r="B3" s="1" t="s">
        <v>5</v>
      </c>
    </row>
    <row r="4" spans="1:2" ht="15.75" customHeight="1" x14ac:dyDescent="0.3">
      <c r="A4" s="1" t="s">
        <v>6</v>
      </c>
      <c r="B4" s="1" t="s">
        <v>7</v>
      </c>
    </row>
    <row r="5" spans="1:2" ht="15.75" customHeight="1" x14ac:dyDescent="0.3">
      <c r="A5" s="1" t="s">
        <v>8</v>
      </c>
      <c r="B5" s="1" t="s">
        <v>9</v>
      </c>
    </row>
    <row r="6" spans="1:2" ht="15.75" customHeight="1" x14ac:dyDescent="0.3">
      <c r="A6" s="1" t="s">
        <v>10</v>
      </c>
      <c r="B6" s="1" t="s">
        <v>11</v>
      </c>
    </row>
    <row r="7" spans="1:2" ht="15.75" customHeight="1" x14ac:dyDescent="0.3">
      <c r="A7" s="1" t="s">
        <v>12</v>
      </c>
      <c r="B7" s="1" t="s">
        <v>13</v>
      </c>
    </row>
    <row r="8" spans="1:2" ht="15.75" customHeight="1" x14ac:dyDescent="0.3">
      <c r="A8" s="1" t="s">
        <v>14</v>
      </c>
      <c r="B8" s="1" t="s">
        <v>15</v>
      </c>
    </row>
    <row r="9" spans="1:2" ht="15.75" customHeight="1" x14ac:dyDescent="0.3">
      <c r="A9" s="1" t="s">
        <v>16</v>
      </c>
      <c r="B9" s="1" t="s">
        <v>17</v>
      </c>
    </row>
    <row r="10" spans="1:2" ht="15.75" customHeight="1" x14ac:dyDescent="0.3">
      <c r="A10" s="1" t="s">
        <v>18</v>
      </c>
      <c r="B10" s="1" t="s">
        <v>19</v>
      </c>
    </row>
    <row r="11" spans="1:2" ht="15.75" customHeight="1" x14ac:dyDescent="0.3">
      <c r="A11" s="1" t="s">
        <v>20</v>
      </c>
      <c r="B11" s="1" t="s">
        <v>21</v>
      </c>
    </row>
    <row r="12" spans="1:2" ht="15.75" customHeight="1" x14ac:dyDescent="0.3">
      <c r="A12" s="1" t="s">
        <v>22</v>
      </c>
      <c r="B12" s="1" t="s">
        <v>23</v>
      </c>
    </row>
    <row r="13" spans="1:2" ht="15.75" customHeight="1" x14ac:dyDescent="0.3">
      <c r="A13" s="1" t="s">
        <v>24</v>
      </c>
      <c r="B13" s="1" t="s">
        <v>25</v>
      </c>
    </row>
  </sheetData>
  <pageMargins left="0.7" right="0.7" top="0.75" bottom="0.75" header="0.3" footer="0.3"/>
  <headerFooter>
    <oddFooter>&amp;C_x000D_&amp;1#&amp;"Aptos"&amp;10&amp;K000000 Internal Use: Al-Futtaim Group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21"/>
  <sheetViews>
    <sheetView zoomScale="90" zoomScaleNormal="90" workbookViewId="0">
      <selection activeCell="E19" sqref="E19"/>
    </sheetView>
  </sheetViews>
  <sheetFormatPr defaultColWidth="12.6640625" defaultRowHeight="15.75" customHeight="1" x14ac:dyDescent="0.25"/>
  <cols>
    <col min="1" max="1" width="7" bestFit="1" customWidth="1"/>
    <col min="2" max="2" width="17.77734375" bestFit="1" customWidth="1"/>
    <col min="3" max="3" width="20.44140625" bestFit="1" customWidth="1"/>
    <col min="4" max="4" width="17.5546875" bestFit="1" customWidth="1"/>
    <col min="5" max="5" width="17.6640625" bestFit="1" customWidth="1"/>
    <col min="6" max="6" width="15.21875" bestFit="1" customWidth="1"/>
    <col min="7" max="7" width="18.5546875" bestFit="1" customWidth="1"/>
    <col min="8" max="8" width="15.44140625" style="8" bestFit="1" customWidth="1"/>
    <col min="9" max="9" width="14.33203125" bestFit="1" customWidth="1"/>
    <col min="10" max="10" width="16.33203125" bestFit="1" customWidth="1"/>
    <col min="11" max="11" width="4.88671875" bestFit="1" customWidth="1"/>
    <col min="12" max="12" width="12.5546875" bestFit="1" customWidth="1"/>
    <col min="13" max="13" width="5.44140625" bestFit="1" customWidth="1"/>
    <col min="14" max="14" width="21.6640625" bestFit="1" customWidth="1"/>
  </cols>
  <sheetData>
    <row r="1" spans="1:14" ht="14.4" x14ac:dyDescent="0.25">
      <c r="A1" s="2" t="s">
        <v>26</v>
      </c>
      <c r="B1" s="3" t="s">
        <v>2</v>
      </c>
      <c r="C1" s="3" t="s">
        <v>4</v>
      </c>
      <c r="D1" s="3" t="s">
        <v>8</v>
      </c>
      <c r="E1" s="3" t="s">
        <v>6</v>
      </c>
      <c r="F1" s="3" t="s">
        <v>27</v>
      </c>
      <c r="G1" s="9" t="s">
        <v>28</v>
      </c>
      <c r="H1" s="6" t="s">
        <v>29</v>
      </c>
      <c r="I1" s="3" t="s">
        <v>30</v>
      </c>
      <c r="J1" s="3" t="s">
        <v>31</v>
      </c>
      <c r="K1" s="3" t="s">
        <v>12</v>
      </c>
      <c r="L1" s="3" t="s">
        <v>32</v>
      </c>
      <c r="M1" s="3" t="s">
        <v>16</v>
      </c>
      <c r="N1" s="3" t="s">
        <v>33</v>
      </c>
    </row>
    <row r="2" spans="1:14" ht="15.75" customHeight="1" x14ac:dyDescent="0.3">
      <c r="A2" s="4">
        <v>1</v>
      </c>
      <c r="B2" s="4">
        <v>854</v>
      </c>
      <c r="C2" s="4">
        <v>265</v>
      </c>
      <c r="D2" s="4">
        <v>280</v>
      </c>
      <c r="E2" s="4">
        <v>135</v>
      </c>
      <c r="F2" s="4">
        <v>5</v>
      </c>
      <c r="G2" s="10" t="s">
        <v>34</v>
      </c>
      <c r="H2" s="7">
        <v>2.5</v>
      </c>
      <c r="I2" s="4">
        <v>6</v>
      </c>
      <c r="J2" s="5">
        <v>0.49</v>
      </c>
      <c r="K2" s="4">
        <v>15</v>
      </c>
      <c r="L2" s="4">
        <v>12</v>
      </c>
      <c r="M2" s="4">
        <v>6</v>
      </c>
      <c r="N2" s="1" t="s">
        <v>35</v>
      </c>
    </row>
    <row r="3" spans="1:14" ht="15.75" customHeight="1" x14ac:dyDescent="0.3">
      <c r="A3" s="4">
        <v>2</v>
      </c>
      <c r="B3" s="4">
        <v>1138</v>
      </c>
      <c r="C3" s="4">
        <v>1001</v>
      </c>
      <c r="D3" s="4">
        <v>1033</v>
      </c>
      <c r="E3" s="4">
        <v>229</v>
      </c>
      <c r="F3" s="4">
        <v>5</v>
      </c>
      <c r="G3" s="10" t="s">
        <v>34</v>
      </c>
      <c r="H3" s="7">
        <v>2.5</v>
      </c>
      <c r="I3" s="4">
        <v>6</v>
      </c>
      <c r="J3" s="5">
        <v>0.65</v>
      </c>
      <c r="K3" s="4">
        <v>15</v>
      </c>
      <c r="L3" s="4">
        <v>21</v>
      </c>
      <c r="M3" s="4">
        <v>7</v>
      </c>
      <c r="N3" s="1" t="s">
        <v>14</v>
      </c>
    </row>
    <row r="4" spans="1:14" ht="15.75" customHeight="1" x14ac:dyDescent="0.3">
      <c r="A4" s="4">
        <v>3</v>
      </c>
      <c r="B4" s="4">
        <v>471</v>
      </c>
      <c r="C4" s="4">
        <v>414</v>
      </c>
      <c r="D4" s="4">
        <v>476</v>
      </c>
      <c r="E4" s="4">
        <v>91</v>
      </c>
      <c r="F4" s="4">
        <v>5</v>
      </c>
      <c r="G4" s="10" t="s">
        <v>34</v>
      </c>
      <c r="H4" s="7">
        <v>2.5</v>
      </c>
      <c r="I4" s="4">
        <v>6</v>
      </c>
      <c r="J4" s="5">
        <v>0.27</v>
      </c>
      <c r="K4" s="4">
        <v>15</v>
      </c>
      <c r="L4" s="4">
        <v>8</v>
      </c>
      <c r="M4" s="4">
        <v>1</v>
      </c>
      <c r="N4" s="1" t="s">
        <v>36</v>
      </c>
    </row>
    <row r="5" spans="1:14" ht="15.75" customHeight="1" x14ac:dyDescent="0.3">
      <c r="A5" s="4">
        <v>4</v>
      </c>
      <c r="B5" s="4">
        <v>1014</v>
      </c>
      <c r="C5" s="4">
        <v>172</v>
      </c>
      <c r="D5" s="4">
        <v>187</v>
      </c>
      <c r="E5" s="4">
        <v>102</v>
      </c>
      <c r="F5" s="4">
        <v>5</v>
      </c>
      <c r="G5" s="10" t="s">
        <v>34</v>
      </c>
      <c r="H5" s="7">
        <v>2.5</v>
      </c>
      <c r="I5" s="4">
        <v>6</v>
      </c>
      <c r="J5" s="5">
        <v>0.57999999999999996</v>
      </c>
      <c r="K5" s="4">
        <v>15</v>
      </c>
      <c r="L5" s="4">
        <v>21</v>
      </c>
      <c r="M5" s="4">
        <v>3</v>
      </c>
      <c r="N5" s="1" t="s">
        <v>35</v>
      </c>
    </row>
    <row r="6" spans="1:14" ht="15.75" customHeight="1" x14ac:dyDescent="0.3">
      <c r="A6" s="4">
        <v>5</v>
      </c>
      <c r="B6" s="4">
        <v>959</v>
      </c>
      <c r="C6" s="4">
        <v>777</v>
      </c>
      <c r="D6" s="4">
        <v>865</v>
      </c>
      <c r="E6" s="4">
        <v>108</v>
      </c>
      <c r="F6" s="4">
        <v>5</v>
      </c>
      <c r="G6" s="10" t="s">
        <v>34</v>
      </c>
      <c r="H6" s="7">
        <v>2.5</v>
      </c>
      <c r="I6" s="4">
        <v>6</v>
      </c>
      <c r="J6" s="5">
        <v>0.55000000000000004</v>
      </c>
      <c r="K6" s="4">
        <v>15</v>
      </c>
      <c r="L6" s="4">
        <v>25</v>
      </c>
      <c r="M6" s="4">
        <v>8</v>
      </c>
      <c r="N6" s="1" t="s">
        <v>14</v>
      </c>
    </row>
    <row r="7" spans="1:14" ht="15.75" customHeight="1" x14ac:dyDescent="0.3">
      <c r="A7" s="4">
        <v>6</v>
      </c>
      <c r="B7" s="4">
        <v>1429</v>
      </c>
      <c r="C7" s="4">
        <v>815</v>
      </c>
      <c r="D7" s="4">
        <v>853</v>
      </c>
      <c r="E7" s="4">
        <v>246</v>
      </c>
      <c r="F7" s="4">
        <v>5</v>
      </c>
      <c r="G7" s="10" t="s">
        <v>34</v>
      </c>
      <c r="H7" s="7">
        <v>2.5</v>
      </c>
      <c r="I7" s="4">
        <v>6</v>
      </c>
      <c r="J7" s="5">
        <v>0.82</v>
      </c>
      <c r="K7" s="4">
        <v>15</v>
      </c>
      <c r="L7" s="4">
        <v>10</v>
      </c>
      <c r="M7" s="4">
        <v>2</v>
      </c>
      <c r="N7" s="1" t="s">
        <v>36</v>
      </c>
    </row>
    <row r="8" spans="1:14" ht="15.75" customHeight="1" x14ac:dyDescent="0.3">
      <c r="A8" s="4">
        <v>7</v>
      </c>
      <c r="B8" s="4">
        <v>972</v>
      </c>
      <c r="C8" s="4">
        <v>146</v>
      </c>
      <c r="D8" s="4">
        <v>147</v>
      </c>
      <c r="E8" s="4">
        <v>192</v>
      </c>
      <c r="F8" s="4">
        <v>5</v>
      </c>
      <c r="G8" s="10" t="s">
        <v>34</v>
      </c>
      <c r="H8" s="7">
        <v>2.5</v>
      </c>
      <c r="I8" s="4">
        <v>6</v>
      </c>
      <c r="J8" s="5">
        <v>0.56000000000000005</v>
      </c>
      <c r="K8" s="4">
        <v>15</v>
      </c>
      <c r="L8" s="4">
        <v>15</v>
      </c>
      <c r="M8" s="4">
        <v>2</v>
      </c>
      <c r="N8" s="1" t="s">
        <v>37</v>
      </c>
    </row>
    <row r="9" spans="1:14" ht="15.75" customHeight="1" x14ac:dyDescent="0.3">
      <c r="A9" s="4">
        <v>8</v>
      </c>
      <c r="B9" s="4">
        <v>861</v>
      </c>
      <c r="C9" s="4">
        <v>499</v>
      </c>
      <c r="D9" s="4">
        <v>505</v>
      </c>
      <c r="E9" s="4">
        <v>192</v>
      </c>
      <c r="F9" s="4">
        <v>5</v>
      </c>
      <c r="G9" s="10" t="s">
        <v>34</v>
      </c>
      <c r="H9" s="7">
        <v>2.5</v>
      </c>
      <c r="I9" s="4">
        <v>6</v>
      </c>
      <c r="J9" s="5">
        <v>0.49</v>
      </c>
      <c r="K9" s="4">
        <v>15</v>
      </c>
      <c r="L9" s="4">
        <v>8</v>
      </c>
      <c r="M9" s="4">
        <v>3</v>
      </c>
      <c r="N9" s="1" t="s">
        <v>36</v>
      </c>
    </row>
    <row r="10" spans="1:14" ht="15.75" customHeight="1" x14ac:dyDescent="0.3">
      <c r="A10" s="4">
        <v>9</v>
      </c>
      <c r="B10" s="4">
        <v>308</v>
      </c>
      <c r="C10" s="4">
        <v>206</v>
      </c>
      <c r="D10" s="4">
        <v>210</v>
      </c>
      <c r="E10" s="4">
        <v>39</v>
      </c>
      <c r="F10" s="4">
        <v>5</v>
      </c>
      <c r="G10" s="10" t="s">
        <v>34</v>
      </c>
      <c r="H10" s="7">
        <v>2.5</v>
      </c>
      <c r="I10" s="4">
        <v>6</v>
      </c>
      <c r="J10" s="5">
        <v>0.18</v>
      </c>
      <c r="K10" s="4">
        <v>15</v>
      </c>
      <c r="L10" s="4">
        <v>6</v>
      </c>
      <c r="M10" s="4">
        <v>6</v>
      </c>
      <c r="N10" s="1" t="s">
        <v>35</v>
      </c>
    </row>
    <row r="11" spans="1:14" ht="15.75" customHeight="1" x14ac:dyDescent="0.3">
      <c r="A11" s="4">
        <v>10</v>
      </c>
      <c r="B11" s="4">
        <v>1199</v>
      </c>
      <c r="C11" s="4">
        <v>983</v>
      </c>
      <c r="D11" s="4">
        <v>1037</v>
      </c>
      <c r="E11" s="4">
        <v>161</v>
      </c>
      <c r="F11" s="4">
        <v>5</v>
      </c>
      <c r="G11" s="10" t="s">
        <v>34</v>
      </c>
      <c r="H11" s="7">
        <v>2.5</v>
      </c>
      <c r="I11" s="4">
        <v>6</v>
      </c>
      <c r="J11" s="5">
        <v>0.69</v>
      </c>
      <c r="K11" s="4">
        <v>15</v>
      </c>
      <c r="L11" s="4">
        <v>18</v>
      </c>
      <c r="M11" s="4">
        <v>7</v>
      </c>
      <c r="N11" s="1" t="s">
        <v>14</v>
      </c>
    </row>
    <row r="12" spans="1:14" ht="15.75" customHeight="1" x14ac:dyDescent="0.3">
      <c r="A12" s="4">
        <v>11</v>
      </c>
      <c r="B12" s="4">
        <v>1011</v>
      </c>
      <c r="C12" s="4">
        <v>354</v>
      </c>
      <c r="D12" s="4">
        <v>393</v>
      </c>
      <c r="E12" s="4">
        <v>110</v>
      </c>
      <c r="F12" s="4">
        <v>5</v>
      </c>
      <c r="G12" s="10" t="s">
        <v>34</v>
      </c>
      <c r="H12" s="7">
        <v>2.5</v>
      </c>
      <c r="I12" s="4">
        <v>6</v>
      </c>
      <c r="J12" s="5">
        <v>0.57999999999999996</v>
      </c>
      <c r="K12" s="4">
        <v>15</v>
      </c>
      <c r="L12" s="4">
        <v>5</v>
      </c>
      <c r="M12" s="4">
        <v>3</v>
      </c>
      <c r="N12" s="1" t="s">
        <v>36</v>
      </c>
    </row>
    <row r="13" spans="1:14" ht="15.75" customHeight="1" x14ac:dyDescent="0.3">
      <c r="A13" s="4">
        <v>12</v>
      </c>
      <c r="B13" s="4">
        <v>1608</v>
      </c>
      <c r="C13" s="4">
        <v>933</v>
      </c>
      <c r="D13" s="4">
        <v>1005</v>
      </c>
      <c r="E13" s="4">
        <v>229</v>
      </c>
      <c r="F13" s="4">
        <v>5</v>
      </c>
      <c r="G13" s="10" t="s">
        <v>34</v>
      </c>
      <c r="H13" s="7">
        <v>2.5</v>
      </c>
      <c r="I13" s="4">
        <v>6</v>
      </c>
      <c r="J13" s="5">
        <v>0.92</v>
      </c>
      <c r="K13" s="4">
        <v>15</v>
      </c>
      <c r="L13" s="4">
        <v>7</v>
      </c>
      <c r="M13" s="4">
        <v>4</v>
      </c>
      <c r="N13" s="1" t="s">
        <v>35</v>
      </c>
    </row>
    <row r="14" spans="1:14" ht="15.75" customHeight="1" x14ac:dyDescent="0.25">
      <c r="A14" s="11"/>
    </row>
    <row r="16" spans="1:14" ht="15.75" customHeight="1" x14ac:dyDescent="0.25">
      <c r="B16" s="11"/>
      <c r="C16" s="11"/>
      <c r="D16" s="11"/>
    </row>
    <row r="19" spans="6:8" ht="15.75" customHeight="1" x14ac:dyDescent="0.25">
      <c r="F19" s="11"/>
    </row>
    <row r="21" spans="6:8" ht="15.75" customHeight="1" x14ac:dyDescent="0.25">
      <c r="H21"/>
    </row>
  </sheetData>
  <conditionalFormatting sqref="B2:B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headerFooter>
    <oddFooter>&amp;C_x000D_&amp;1#&amp;"Aptos"&amp;10&amp;K000000 Internal Use: Al-Futtaim Group</oddFooter>
  </headerFooter>
  <ignoredErrors>
    <ignoredError sqref="G2:G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1AA6-623E-4BAC-A267-6BD5F3D5D5AC}">
  <dimension ref="B2:P33"/>
  <sheetViews>
    <sheetView topLeftCell="I6" workbookViewId="0">
      <selection activeCell="L10" sqref="L10"/>
    </sheetView>
  </sheetViews>
  <sheetFormatPr defaultRowHeight="13.2" x14ac:dyDescent="0.25"/>
  <cols>
    <col min="2" max="2" width="8.77734375" customWidth="1"/>
    <col min="3" max="3" width="21.109375" customWidth="1"/>
    <col min="4" max="4" width="23.109375" customWidth="1"/>
    <col min="5" max="5" width="23.77734375" bestFit="1" customWidth="1"/>
    <col min="6" max="6" width="23" bestFit="1" customWidth="1"/>
    <col min="7" max="7" width="18.77734375" customWidth="1"/>
    <col min="8" max="8" width="16.88671875" bestFit="1" customWidth="1"/>
    <col min="9" max="9" width="20.6640625" customWidth="1"/>
    <col min="10" max="11" width="28.21875" bestFit="1" customWidth="1"/>
    <col min="12" max="12" width="23.21875" bestFit="1" customWidth="1"/>
    <col min="13" max="14" width="31.6640625" bestFit="1" customWidth="1"/>
    <col min="15" max="15" width="28.88671875" bestFit="1" customWidth="1"/>
    <col min="16" max="16" width="21.77734375" customWidth="1"/>
  </cols>
  <sheetData>
    <row r="2" spans="2:16" ht="13.2" customHeight="1" x14ac:dyDescent="0.25">
      <c r="C2" s="109" t="s">
        <v>40</v>
      </c>
      <c r="D2" s="109"/>
      <c r="E2" s="109"/>
      <c r="F2" s="109"/>
      <c r="G2" s="109"/>
      <c r="I2" s="109" t="s">
        <v>42</v>
      </c>
      <c r="J2" s="109"/>
    </row>
    <row r="3" spans="2:16" ht="13.2" customHeight="1" x14ac:dyDescent="0.25">
      <c r="C3" s="109"/>
      <c r="D3" s="109"/>
      <c r="E3" s="109"/>
      <c r="F3" s="109"/>
      <c r="G3" s="109"/>
      <c r="I3" s="109"/>
      <c r="J3" s="109"/>
    </row>
    <row r="4" spans="2:16" ht="13.2" customHeight="1" x14ac:dyDescent="0.25">
      <c r="C4" s="109"/>
      <c r="D4" s="109"/>
      <c r="E4" s="109"/>
      <c r="F4" s="109"/>
      <c r="G4" s="109"/>
    </row>
    <row r="5" spans="2:16" ht="14.4" customHeight="1" x14ac:dyDescent="0.25">
      <c r="C5" s="15"/>
      <c r="D5" s="15"/>
      <c r="E5" s="15"/>
      <c r="F5" s="15"/>
      <c r="G5" s="15"/>
      <c r="I5" s="16" t="s">
        <v>41</v>
      </c>
      <c r="J5" s="33">
        <v>365</v>
      </c>
    </row>
    <row r="6" spans="2:16" ht="14.4" x14ac:dyDescent="0.25">
      <c r="I6" s="16" t="s">
        <v>38</v>
      </c>
      <c r="J6" s="34">
        <f>J5/7</f>
        <v>52.142857142857146</v>
      </c>
      <c r="K6" s="26" t="s">
        <v>43</v>
      </c>
      <c r="L6" s="27"/>
    </row>
    <row r="7" spans="2:16" ht="14.4" x14ac:dyDescent="0.25">
      <c r="C7" s="17" t="s">
        <v>27</v>
      </c>
      <c r="D7" s="18" t="s">
        <v>28</v>
      </c>
      <c r="E7" s="19" t="s">
        <v>29</v>
      </c>
      <c r="F7" s="17" t="s">
        <v>30</v>
      </c>
      <c r="G7" s="17" t="s">
        <v>12</v>
      </c>
      <c r="I7" s="16" t="s">
        <v>39</v>
      </c>
      <c r="J7" s="34">
        <f>J6/12</f>
        <v>4.3452380952380958</v>
      </c>
      <c r="K7" s="26" t="s">
        <v>44</v>
      </c>
      <c r="L7" s="27"/>
    </row>
    <row r="8" spans="2:16" ht="28.8" x14ac:dyDescent="0.25">
      <c r="C8" s="20">
        <v>5</v>
      </c>
      <c r="D8" s="21">
        <v>4.25</v>
      </c>
      <c r="E8" s="21">
        <v>2.5</v>
      </c>
      <c r="F8" s="20">
        <v>6</v>
      </c>
      <c r="G8" s="20">
        <v>15</v>
      </c>
      <c r="I8" s="32" t="s">
        <v>55</v>
      </c>
      <c r="J8" s="38">
        <f>J7</f>
        <v>4.3452380952380958</v>
      </c>
    </row>
    <row r="9" spans="2:16" ht="14.4" x14ac:dyDescent="0.25">
      <c r="C9" s="12"/>
      <c r="D9" s="14"/>
      <c r="E9" s="14"/>
      <c r="F9" s="12"/>
      <c r="G9" s="12"/>
    </row>
    <row r="10" spans="2:16" ht="14.4" x14ac:dyDescent="0.25">
      <c r="B10" s="12"/>
      <c r="C10" s="14"/>
      <c r="D10" s="14"/>
      <c r="E10" s="12"/>
      <c r="F10" s="12"/>
    </row>
    <row r="11" spans="2:16" ht="14.4" x14ac:dyDescent="0.25">
      <c r="B11" s="12"/>
      <c r="C11" s="14"/>
      <c r="D11" s="14"/>
      <c r="E11" s="12"/>
      <c r="F11" s="12"/>
      <c r="L11" s="110" t="s">
        <v>69</v>
      </c>
      <c r="M11" s="110"/>
      <c r="N11" s="110"/>
      <c r="O11" s="110"/>
      <c r="P11" s="50"/>
    </row>
    <row r="12" spans="2:16" ht="14.4" x14ac:dyDescent="0.25">
      <c r="B12" s="12"/>
      <c r="C12" s="14"/>
      <c r="D12" s="14"/>
      <c r="E12" s="12"/>
      <c r="F12" s="12"/>
      <c r="L12" s="11" t="s">
        <v>65</v>
      </c>
      <c r="M12" s="11" t="s">
        <v>72</v>
      </c>
      <c r="N12" s="11" t="s">
        <v>71</v>
      </c>
      <c r="O12" s="11" t="s">
        <v>70</v>
      </c>
    </row>
    <row r="13" spans="2:16" ht="14.4" x14ac:dyDescent="0.25">
      <c r="B13" s="24" t="s">
        <v>26</v>
      </c>
      <c r="C13" s="25" t="s">
        <v>45</v>
      </c>
      <c r="D13" s="25" t="s">
        <v>46</v>
      </c>
      <c r="E13" s="25" t="s">
        <v>47</v>
      </c>
      <c r="F13" s="25" t="s">
        <v>48</v>
      </c>
      <c r="G13" s="25" t="s">
        <v>49</v>
      </c>
      <c r="H13" s="31" t="s">
        <v>32</v>
      </c>
      <c r="I13" s="31" t="s">
        <v>16</v>
      </c>
      <c r="J13" s="22" t="s">
        <v>58</v>
      </c>
      <c r="K13" s="37" t="s">
        <v>59</v>
      </c>
      <c r="L13" s="47" t="s">
        <v>73</v>
      </c>
      <c r="M13" s="31" t="s">
        <v>66</v>
      </c>
      <c r="N13" s="31" t="s">
        <v>67</v>
      </c>
      <c r="O13" s="22" t="s">
        <v>68</v>
      </c>
    </row>
    <row r="14" spans="2:16" ht="14.4" x14ac:dyDescent="0.25">
      <c r="B14" s="12">
        <v>1</v>
      </c>
      <c r="C14" s="23">
        <f>$J$8*$C$8*'Original Data'!B2</f>
        <v>18554.166666666668</v>
      </c>
      <c r="D14" s="23">
        <f>$J$8*$D$8*'Original Data'!C2</f>
        <v>4893.8244047619055</v>
      </c>
      <c r="E14" s="23">
        <f>$J$8*$E$8*'Original Data'!D2</f>
        <v>3041.666666666667</v>
      </c>
      <c r="F14" s="23">
        <f>$J$8*$F$8*'Original Data'!E2</f>
        <v>3519.6428571428578</v>
      </c>
      <c r="G14" s="23">
        <f t="shared" ref="G14:G25" si="0">SUM(C14:F14)</f>
        <v>30009.300595238099</v>
      </c>
      <c r="H14" s="12">
        <v>12</v>
      </c>
      <c r="I14" s="12">
        <v>6</v>
      </c>
      <c r="J14" s="30" t="s">
        <v>35</v>
      </c>
      <c r="K14" s="30" t="s">
        <v>60</v>
      </c>
      <c r="L14" s="46">
        <f>'Original Data'!B2*$J$8</f>
        <v>3710.8333333333339</v>
      </c>
      <c r="M14" s="46">
        <f>'Original Data'!C2*$J$8</f>
        <v>1151.4880952380954</v>
      </c>
      <c r="N14" s="46">
        <f>'Original Data'!D2*$J$8</f>
        <v>1216.6666666666667</v>
      </c>
      <c r="O14" s="46">
        <f>'Original Data'!E2*$J$8</f>
        <v>586.60714285714289</v>
      </c>
    </row>
    <row r="15" spans="2:16" ht="14.4" x14ac:dyDescent="0.25">
      <c r="B15" s="12">
        <v>2</v>
      </c>
      <c r="C15" s="23">
        <f>$J$8*$C$8*'Original Data'!B3</f>
        <v>24724.404761904763</v>
      </c>
      <c r="D15" s="23">
        <f>$J$8*$D$8*'Original Data'!C3</f>
        <v>18485.729166666672</v>
      </c>
      <c r="E15" s="23">
        <f>$J$8*$E$8*'Original Data'!D3</f>
        <v>11221.577380952382</v>
      </c>
      <c r="F15" s="23">
        <f>$J$8*$F$8*'Original Data'!E3</f>
        <v>5970.357142857144</v>
      </c>
      <c r="G15" s="23">
        <f t="shared" si="0"/>
        <v>60402.068452380961</v>
      </c>
      <c r="H15" s="12">
        <v>21</v>
      </c>
      <c r="I15" s="12">
        <v>7</v>
      </c>
      <c r="J15" s="30" t="s">
        <v>14</v>
      </c>
      <c r="K15" s="30" t="s">
        <v>14</v>
      </c>
      <c r="L15" s="46">
        <f>'Original Data'!B3*$J$8</f>
        <v>4944.8809523809532</v>
      </c>
      <c r="M15" s="46">
        <f>'Original Data'!C3*$J$8</f>
        <v>4349.5833333333339</v>
      </c>
      <c r="N15" s="46">
        <f>'Original Data'!D3*$J$8</f>
        <v>4488.6309523809532</v>
      </c>
      <c r="O15" s="46">
        <f>'Original Data'!E3*$J$8</f>
        <v>995.05952380952397</v>
      </c>
    </row>
    <row r="16" spans="2:16" ht="14.4" x14ac:dyDescent="0.25">
      <c r="B16" s="12">
        <v>3</v>
      </c>
      <c r="C16" s="23">
        <f>$J$8*$C$8*'Original Data'!B4</f>
        <v>10233.035714285716</v>
      </c>
      <c r="D16" s="23">
        <f>$J$8*$D$8*'Original Data'!C4</f>
        <v>7645.4464285714303</v>
      </c>
      <c r="E16" s="23">
        <f>$J$8*$E$8*'Original Data'!D4</f>
        <v>5170.8333333333339</v>
      </c>
      <c r="F16" s="23">
        <f>$J$8*$F$8*'Original Data'!E4</f>
        <v>2372.5000000000005</v>
      </c>
      <c r="G16" s="23">
        <f t="shared" si="0"/>
        <v>25421.815476190481</v>
      </c>
      <c r="H16" s="12">
        <v>8</v>
      </c>
      <c r="I16" s="12">
        <v>1</v>
      </c>
      <c r="J16" s="30" t="s">
        <v>36</v>
      </c>
      <c r="K16" s="30" t="s">
        <v>36</v>
      </c>
      <c r="L16" s="46">
        <f>'Original Data'!B4*$J$8</f>
        <v>2046.6071428571431</v>
      </c>
      <c r="M16" s="46">
        <f>'Original Data'!C4*$J$8</f>
        <v>1798.9285714285716</v>
      </c>
      <c r="N16" s="46">
        <f>'Original Data'!D4*$J$8</f>
        <v>2068.3333333333335</v>
      </c>
      <c r="O16" s="46">
        <f>'Original Data'!E4*$J$8</f>
        <v>395.41666666666674</v>
      </c>
    </row>
    <row r="17" spans="2:15" ht="14.4" x14ac:dyDescent="0.25">
      <c r="B17" s="12">
        <v>4</v>
      </c>
      <c r="C17" s="23">
        <f>$J$8*$C$8*'Original Data'!B5</f>
        <v>22030.357142857145</v>
      </c>
      <c r="D17" s="23">
        <f>$J$8*$D$8*'Original Data'!C5</f>
        <v>3176.3690476190482</v>
      </c>
      <c r="E17" s="23">
        <f>$J$8*$E$8*'Original Data'!D5</f>
        <v>2031.3988095238096</v>
      </c>
      <c r="F17" s="23">
        <f>$J$8*$F$8*'Original Data'!E5</f>
        <v>2659.2857142857147</v>
      </c>
      <c r="G17" s="23">
        <f t="shared" si="0"/>
        <v>29897.410714285717</v>
      </c>
      <c r="H17" s="12">
        <v>21</v>
      </c>
      <c r="I17" s="12">
        <v>3</v>
      </c>
      <c r="J17" s="30" t="s">
        <v>35</v>
      </c>
      <c r="K17" s="30" t="s">
        <v>60</v>
      </c>
      <c r="L17" s="46">
        <f>'Original Data'!B5*$J$8</f>
        <v>4406.0714285714294</v>
      </c>
      <c r="M17" s="46">
        <f>'Original Data'!C5*$J$8</f>
        <v>747.38095238095252</v>
      </c>
      <c r="N17" s="46">
        <f>'Original Data'!D5*$J$8</f>
        <v>812.55952380952397</v>
      </c>
      <c r="O17" s="46">
        <f>'Original Data'!E5*$J$8</f>
        <v>443.21428571428578</v>
      </c>
    </row>
    <row r="18" spans="2:15" ht="14.4" x14ac:dyDescent="0.25">
      <c r="B18" s="12">
        <v>5</v>
      </c>
      <c r="C18" s="23">
        <f>$J$8*$C$8*'Original Data'!B6</f>
        <v>20835.416666666668</v>
      </c>
      <c r="D18" s="23">
        <f>$J$8*$D$8*'Original Data'!C6</f>
        <v>14349.062500000004</v>
      </c>
      <c r="E18" s="23">
        <f>$J$8*$E$8*'Original Data'!D6</f>
        <v>9396.5773809523816</v>
      </c>
      <c r="F18" s="23">
        <f>$J$8*$F$8*'Original Data'!E6</f>
        <v>2815.7142857142862</v>
      </c>
      <c r="G18" s="23">
        <f t="shared" si="0"/>
        <v>47396.770833333343</v>
      </c>
      <c r="H18" s="12">
        <v>25</v>
      </c>
      <c r="I18" s="12">
        <v>8</v>
      </c>
      <c r="J18" s="30" t="s">
        <v>14</v>
      </c>
      <c r="K18" s="30" t="s">
        <v>14</v>
      </c>
      <c r="L18" s="46">
        <f>'Original Data'!B6*$J$8</f>
        <v>4167.0833333333339</v>
      </c>
      <c r="M18" s="46">
        <f>'Original Data'!C6*$J$8</f>
        <v>3376.2500000000005</v>
      </c>
      <c r="N18" s="46">
        <f>'Original Data'!D6*$J$8</f>
        <v>3758.6309523809527</v>
      </c>
      <c r="O18" s="46">
        <f>'Original Data'!E6*$J$8</f>
        <v>469.28571428571433</v>
      </c>
    </row>
    <row r="19" spans="2:15" ht="14.4" x14ac:dyDescent="0.25">
      <c r="B19" s="12">
        <v>6</v>
      </c>
      <c r="C19" s="23">
        <f>$J$8*$C$8*'Original Data'!B7</f>
        <v>31046.726190476194</v>
      </c>
      <c r="D19" s="23">
        <f>$J$8*$D$8*'Original Data'!C7</f>
        <v>15050.818452380956</v>
      </c>
      <c r="E19" s="23">
        <f>$J$8*$E$8*'Original Data'!D7</f>
        <v>9266.2202380952385</v>
      </c>
      <c r="F19" s="23">
        <f>$J$8*$F$8*'Original Data'!E7</f>
        <v>6413.5714285714303</v>
      </c>
      <c r="G19" s="23">
        <f t="shared" si="0"/>
        <v>61777.336309523816</v>
      </c>
      <c r="H19" s="12">
        <v>10</v>
      </c>
      <c r="I19" s="12">
        <v>2</v>
      </c>
      <c r="J19" s="30" t="s">
        <v>36</v>
      </c>
      <c r="K19" s="30" t="s">
        <v>36</v>
      </c>
      <c r="L19" s="46">
        <f>'Original Data'!B7*$J$8</f>
        <v>6209.3452380952385</v>
      </c>
      <c r="M19" s="46">
        <f>'Original Data'!C7*$J$8</f>
        <v>3541.3690476190482</v>
      </c>
      <c r="N19" s="46">
        <f>'Original Data'!D7*$J$8</f>
        <v>3706.4880952380959</v>
      </c>
      <c r="O19" s="46">
        <f>'Original Data'!E7*$J$8</f>
        <v>1068.9285714285716</v>
      </c>
    </row>
    <row r="20" spans="2:15" ht="14.4" x14ac:dyDescent="0.25">
      <c r="B20" s="12">
        <v>7</v>
      </c>
      <c r="C20" s="23">
        <f>$J$8*$C$8*'Original Data'!B8</f>
        <v>21117.857142857145</v>
      </c>
      <c r="D20" s="23">
        <f>$J$8*$D$8*'Original Data'!C8</f>
        <v>2696.2202380952385</v>
      </c>
      <c r="E20" s="23">
        <f>$J$8*$E$8*'Original Data'!D8</f>
        <v>1596.8750000000002</v>
      </c>
      <c r="F20" s="23">
        <f>$J$8*$F$8*'Original Data'!E8</f>
        <v>5005.7142857142862</v>
      </c>
      <c r="G20" s="23">
        <f t="shared" si="0"/>
        <v>30416.666666666668</v>
      </c>
      <c r="H20" s="12">
        <v>15</v>
      </c>
      <c r="I20" s="12">
        <v>2</v>
      </c>
      <c r="J20" s="30" t="s">
        <v>37</v>
      </c>
      <c r="K20" s="30" t="s">
        <v>60</v>
      </c>
      <c r="L20" s="46">
        <f>'Original Data'!B8*$J$8</f>
        <v>4223.5714285714294</v>
      </c>
      <c r="M20" s="46">
        <f>'Original Data'!C8*$J$8</f>
        <v>634.40476190476204</v>
      </c>
      <c r="N20" s="46">
        <f>'Original Data'!D8*$J$8</f>
        <v>638.75000000000011</v>
      </c>
      <c r="O20" s="46">
        <f>'Original Data'!E8*$J$8</f>
        <v>834.28571428571445</v>
      </c>
    </row>
    <row r="21" spans="2:15" ht="14.4" x14ac:dyDescent="0.25">
      <c r="B21" s="12">
        <v>8</v>
      </c>
      <c r="C21" s="23">
        <f>$J$8*$C$8*'Original Data'!B9</f>
        <v>18706.25</v>
      </c>
      <c r="D21" s="23">
        <f>$J$8*$D$8*'Original Data'!C9</f>
        <v>9215.1636904761926</v>
      </c>
      <c r="E21" s="23">
        <f>$J$8*$E$8*'Original Data'!D9</f>
        <v>5485.8630952380954</v>
      </c>
      <c r="F21" s="23">
        <f>$J$8*$F$8*'Original Data'!E9</f>
        <v>5005.7142857142862</v>
      </c>
      <c r="G21" s="23">
        <f t="shared" si="0"/>
        <v>38412.99107142858</v>
      </c>
      <c r="H21" s="12">
        <v>8</v>
      </c>
      <c r="I21" s="12">
        <v>3</v>
      </c>
      <c r="J21" s="30" t="s">
        <v>36</v>
      </c>
      <c r="K21" s="30" t="s">
        <v>36</v>
      </c>
      <c r="L21" s="46">
        <f>'Original Data'!B9*$J$8</f>
        <v>3741.2500000000005</v>
      </c>
      <c r="M21" s="46">
        <f>'Original Data'!C9*$J$8</f>
        <v>2168.2738095238096</v>
      </c>
      <c r="N21" s="46">
        <f>'Original Data'!D9*$J$8</f>
        <v>2194.3452380952385</v>
      </c>
      <c r="O21" s="46">
        <f>'Original Data'!E9*$J$8</f>
        <v>834.28571428571445</v>
      </c>
    </row>
    <row r="22" spans="2:15" ht="14.4" x14ac:dyDescent="0.25">
      <c r="B22" s="12">
        <v>9</v>
      </c>
      <c r="C22" s="23">
        <f>$J$8*$C$8*'Original Data'!B10</f>
        <v>6691.666666666667</v>
      </c>
      <c r="D22" s="23">
        <f>$J$8*$D$8*'Original Data'!C10</f>
        <v>3804.2559523809532</v>
      </c>
      <c r="E22" s="23">
        <f>$J$8*$E$8*'Original Data'!D10</f>
        <v>2281.25</v>
      </c>
      <c r="F22" s="23">
        <f>$J$8*$F$8*'Original Data'!E10</f>
        <v>1016.7857142857144</v>
      </c>
      <c r="G22" s="23">
        <f t="shared" si="0"/>
        <v>13793.958333333334</v>
      </c>
      <c r="H22" s="12">
        <v>6</v>
      </c>
      <c r="I22" s="12">
        <v>6</v>
      </c>
      <c r="J22" s="30" t="s">
        <v>35</v>
      </c>
      <c r="K22" s="30" t="s">
        <v>60</v>
      </c>
      <c r="L22" s="46">
        <f>'Original Data'!B10*$J$8</f>
        <v>1338.3333333333335</v>
      </c>
      <c r="M22" s="46">
        <f>'Original Data'!C10*$J$8</f>
        <v>895.11904761904771</v>
      </c>
      <c r="N22" s="46">
        <f>'Original Data'!D10*$J$8</f>
        <v>912.50000000000011</v>
      </c>
      <c r="O22" s="46">
        <f>'Original Data'!E10*$J$8</f>
        <v>169.46428571428572</v>
      </c>
    </row>
    <row r="23" spans="2:15" ht="14.4" x14ac:dyDescent="0.25">
      <c r="B23" s="12">
        <v>10</v>
      </c>
      <c r="C23" s="23">
        <f>$J$8*$C$8*'Original Data'!B11</f>
        <v>26049.702380952382</v>
      </c>
      <c r="D23" s="23">
        <f>$J$8*$D$8*'Original Data'!C11</f>
        <v>18153.318452380958</v>
      </c>
      <c r="E23" s="23">
        <f>$J$8*$E$8*'Original Data'!D11</f>
        <v>11265.029761904763</v>
      </c>
      <c r="F23" s="23">
        <f>$J$8*$F$8*'Original Data'!E11</f>
        <v>4197.5000000000009</v>
      </c>
      <c r="G23" s="23">
        <f t="shared" si="0"/>
        <v>59665.550595238106</v>
      </c>
      <c r="H23" s="12">
        <v>18</v>
      </c>
      <c r="I23" s="12">
        <v>7</v>
      </c>
      <c r="J23" s="30" t="s">
        <v>14</v>
      </c>
      <c r="K23" s="30" t="s">
        <v>14</v>
      </c>
      <c r="L23" s="46">
        <f>'Original Data'!B11*$J$8</f>
        <v>5209.9404761904771</v>
      </c>
      <c r="M23" s="46">
        <f>'Original Data'!C11*$J$8</f>
        <v>4271.3690476190477</v>
      </c>
      <c r="N23" s="46">
        <f>'Original Data'!D11*$J$8</f>
        <v>4506.0119047619055</v>
      </c>
      <c r="O23" s="46">
        <f>'Original Data'!E11*$J$8</f>
        <v>699.58333333333337</v>
      </c>
    </row>
    <row r="24" spans="2:15" ht="14.4" x14ac:dyDescent="0.25">
      <c r="B24" s="12">
        <v>11</v>
      </c>
      <c r="C24" s="23">
        <f>$J$8*$C$8*'Original Data'!B12</f>
        <v>21965.178571428572</v>
      </c>
      <c r="D24" s="23">
        <f>$J$8*$D$8*'Original Data'!C12</f>
        <v>6537.4107142857156</v>
      </c>
      <c r="E24" s="23">
        <f>$J$8*$E$8*'Original Data'!D12</f>
        <v>4269.1964285714294</v>
      </c>
      <c r="F24" s="23">
        <f>$J$8*$F$8*'Original Data'!E12</f>
        <v>2867.8571428571436</v>
      </c>
      <c r="G24" s="23">
        <f t="shared" si="0"/>
        <v>35639.642857142862</v>
      </c>
      <c r="H24" s="12">
        <v>5</v>
      </c>
      <c r="I24" s="12">
        <v>3</v>
      </c>
      <c r="J24" s="30" t="s">
        <v>36</v>
      </c>
      <c r="K24" s="30" t="s">
        <v>36</v>
      </c>
      <c r="L24" s="46">
        <f>'Original Data'!B12*$J$8</f>
        <v>4393.0357142857147</v>
      </c>
      <c r="M24" s="46">
        <f>'Original Data'!C12*$J$8</f>
        <v>1538.214285714286</v>
      </c>
      <c r="N24" s="46">
        <f>'Original Data'!D12*$J$8</f>
        <v>1707.6785714285716</v>
      </c>
      <c r="O24" s="46">
        <f>'Original Data'!E12*$J$8</f>
        <v>477.97619047619054</v>
      </c>
    </row>
    <row r="25" spans="2:15" ht="14.4" x14ac:dyDescent="0.25">
      <c r="B25" s="12">
        <v>12</v>
      </c>
      <c r="C25" s="23">
        <f>$J$8*$C$8*'Original Data'!B13</f>
        <v>34935.71428571429</v>
      </c>
      <c r="D25" s="23">
        <f>$J$8*$D$8*'Original Data'!C13</f>
        <v>17229.955357142862</v>
      </c>
      <c r="E25" s="23">
        <f>$J$8*$E$8*'Original Data'!D13</f>
        <v>10917.410714285716</v>
      </c>
      <c r="F25" s="23">
        <f>$J$8*$F$8*'Original Data'!E13</f>
        <v>5970.357142857144</v>
      </c>
      <c r="G25" s="23">
        <f t="shared" si="0"/>
        <v>69053.437500000015</v>
      </c>
      <c r="H25" s="12">
        <v>7</v>
      </c>
      <c r="I25" s="12">
        <v>4</v>
      </c>
      <c r="J25" s="30" t="s">
        <v>35</v>
      </c>
      <c r="K25" s="30" t="s">
        <v>60</v>
      </c>
      <c r="L25" s="46">
        <f>'Original Data'!B13*$J$8</f>
        <v>6987.1428571428578</v>
      </c>
      <c r="M25" s="46">
        <f>'Original Data'!C13*$J$8</f>
        <v>4054.1071428571436</v>
      </c>
      <c r="N25" s="46">
        <f>'Original Data'!D13*$J$8</f>
        <v>4366.9642857142862</v>
      </c>
      <c r="O25" s="46">
        <f>'Original Data'!E13*$J$8</f>
        <v>995.05952380952397</v>
      </c>
    </row>
    <row r="26" spans="2:15" ht="14.4" x14ac:dyDescent="0.25">
      <c r="B26" s="28" t="s">
        <v>61</v>
      </c>
      <c r="C26" s="23">
        <f>SUBTOTAL(109,Table3[Monthly Ticket Profit])</f>
        <v>256890.47619047624</v>
      </c>
      <c r="D26" s="23">
        <f>SUBTOTAL(109,Table3[Monthly Popcorn Profit])</f>
        <v>121237.57440476192</v>
      </c>
      <c r="E26" s="29">
        <f>SUBTOTAL(109,Table3[Monthly Soda Profit])</f>
        <v>75943.898809523816</v>
      </c>
      <c r="F26" s="29">
        <f>SUM(Table3[Monthly Food Profit])</f>
        <v>47815.000000000015</v>
      </c>
      <c r="G26" s="23">
        <f>SUM(Table3[Total Month Profit])</f>
        <v>501886.94940476189</v>
      </c>
      <c r="H26" s="13"/>
      <c r="I26" s="13"/>
      <c r="J26" s="23"/>
      <c r="K26" s="13"/>
      <c r="L26" s="46">
        <f>SUM(Table3[Monthly Customers])</f>
        <v>51378.095238095244</v>
      </c>
      <c r="M26" s="46">
        <f>SUM(Table3[Monthly Popcorn Sales])</f>
        <v>28526.488095238095</v>
      </c>
      <c r="N26" s="46">
        <f>SUM(Table3[Monthly Soda Sales])</f>
        <v>30377.559523809527</v>
      </c>
      <c r="O26" s="46">
        <f>SUM(Table3[Monthly Food Sales])</f>
        <v>7969.166666666667</v>
      </c>
    </row>
    <row r="27" spans="2:15" x14ac:dyDescent="0.25">
      <c r="G27" s="63"/>
      <c r="M27" s="45"/>
    </row>
    <row r="28" spans="2:15" x14ac:dyDescent="0.25">
      <c r="J28" s="35"/>
      <c r="K28" s="35"/>
      <c r="L28" s="11"/>
    </row>
    <row r="29" spans="2:15" ht="19.8" customHeight="1" thickBot="1" x14ac:dyDescent="0.3">
      <c r="I29" s="35"/>
      <c r="L29" s="11"/>
    </row>
    <row r="30" spans="2:15" ht="21.6" customHeight="1" thickBot="1" x14ac:dyDescent="0.35">
      <c r="F30" s="39" t="s">
        <v>50</v>
      </c>
      <c r="G30" s="43">
        <v>501886.94940476189</v>
      </c>
      <c r="H30" s="11"/>
      <c r="I30" s="35"/>
    </row>
    <row r="31" spans="2:15" ht="24.6" customHeight="1" x14ac:dyDescent="0.3">
      <c r="F31" s="39" t="s">
        <v>56</v>
      </c>
      <c r="G31" s="40">
        <v>0.2</v>
      </c>
      <c r="I31" s="36"/>
      <c r="J31" s="11"/>
    </row>
    <row r="32" spans="2:15" ht="25.2" customHeight="1" thickBot="1" x14ac:dyDescent="0.35">
      <c r="F32" s="41" t="s">
        <v>57</v>
      </c>
      <c r="G32" s="42">
        <f>Table3[[#Totals],[Total Month Profit]]+(G31*Table3[[#Totals],[Total Month Profit]])</f>
        <v>602264.33928571432</v>
      </c>
      <c r="I32" s="35"/>
    </row>
    <row r="33" ht="16.8" customHeight="1" x14ac:dyDescent="0.25"/>
  </sheetData>
  <mergeCells count="3">
    <mergeCell ref="C2:G4"/>
    <mergeCell ref="I2:J3"/>
    <mergeCell ref="L11:O11"/>
  </mergeCells>
  <phoneticPr fontId="9" type="noConversion"/>
  <conditionalFormatting sqref="I14:I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DB83D-C0A8-4381-9C8C-5AB1DFC56B2B}">
  <dimension ref="B2:K63"/>
  <sheetViews>
    <sheetView tabSelected="1" topLeftCell="A18" workbookViewId="0">
      <selection activeCell="H32" sqref="H32"/>
    </sheetView>
  </sheetViews>
  <sheetFormatPr defaultRowHeight="13.2" x14ac:dyDescent="0.25"/>
  <cols>
    <col min="2" max="2" width="17.88671875" customWidth="1"/>
    <col min="3" max="3" width="39.88671875" customWidth="1"/>
    <col min="4" max="4" width="17.6640625" customWidth="1"/>
    <col min="5" max="5" width="16.109375" customWidth="1"/>
    <col min="6" max="6" width="13.88671875" customWidth="1"/>
    <col min="7" max="7" width="44" customWidth="1"/>
  </cols>
  <sheetData>
    <row r="2" spans="2:7" x14ac:dyDescent="0.25">
      <c r="B2" s="94" t="s">
        <v>84</v>
      </c>
      <c r="C2" s="94"/>
    </row>
    <row r="3" spans="2:7" x14ac:dyDescent="0.25">
      <c r="B3" s="94"/>
      <c r="C3" s="94"/>
    </row>
    <row r="5" spans="2:7" ht="31.2" customHeight="1" x14ac:dyDescent="0.25">
      <c r="B5" s="104" t="s">
        <v>62</v>
      </c>
      <c r="C5" s="104"/>
    </row>
    <row r="6" spans="2:7" x14ac:dyDescent="0.25">
      <c r="B6" s="11" t="s">
        <v>77</v>
      </c>
      <c r="C6" s="51" t="s">
        <v>75</v>
      </c>
    </row>
    <row r="7" spans="2:7" x14ac:dyDescent="0.25">
      <c r="B7" s="11" t="s">
        <v>54</v>
      </c>
      <c r="C7" s="44">
        <f>(Table3[[#Totals],[Monthly Ticket Profit]]/Table3[[#Totals],[Total Month Profit]])</f>
        <v>0.5118492849737345</v>
      </c>
    </row>
    <row r="8" spans="2:7" x14ac:dyDescent="0.25">
      <c r="B8" s="11" t="s">
        <v>63</v>
      </c>
      <c r="C8" s="44">
        <f>SUM(Table3[[#Totals],[Monthly Popcorn Profit]:[Monthly Food Profit]])/Table3[[#Totals],[Total Month Profit]]</f>
        <v>0.48815071502626567</v>
      </c>
    </row>
    <row r="10" spans="2:7" ht="31.8" customHeight="1" x14ac:dyDescent="0.25">
      <c r="B10" s="104" t="s">
        <v>64</v>
      </c>
      <c r="C10" s="104"/>
    </row>
    <row r="11" spans="2:7" x14ac:dyDescent="0.25">
      <c r="B11" s="11" t="s">
        <v>76</v>
      </c>
      <c r="C11" s="51" t="s">
        <v>75</v>
      </c>
    </row>
    <row r="12" spans="2:7" x14ac:dyDescent="0.25">
      <c r="B12" s="11" t="s">
        <v>54</v>
      </c>
      <c r="C12" s="44">
        <f>(Table3[[#Totals],[Monthly Ticket Profit]]/Table3[[#Totals],[Total Month Profit]])</f>
        <v>0.5118492849737345</v>
      </c>
    </row>
    <row r="13" spans="2:7" ht="13.8" thickBot="1" x14ac:dyDescent="0.3">
      <c r="B13" s="11" t="s">
        <v>51</v>
      </c>
      <c r="C13" s="44">
        <f>Table3[[#Totals],[Monthly Popcorn Profit]]/Table3[[#Totals],[Total Month Profit]]</f>
        <v>0.24156351255706038</v>
      </c>
    </row>
    <row r="14" spans="2:7" ht="21.6" customHeight="1" x14ac:dyDescent="0.25">
      <c r="B14" s="11" t="s">
        <v>52</v>
      </c>
      <c r="C14" s="44">
        <f>Table3[[#Totals],[Monthly Soda Profit]]/Table3[[#Totals],[Total Month Profit]]</f>
        <v>0.15131674354073824</v>
      </c>
      <c r="E14" s="95" t="s">
        <v>85</v>
      </c>
      <c r="F14" s="96"/>
      <c r="G14" s="97"/>
    </row>
    <row r="15" spans="2:7" x14ac:dyDescent="0.25">
      <c r="B15" s="11" t="s">
        <v>53</v>
      </c>
      <c r="C15" s="44">
        <f>Table3[[#Totals],[Monthly Food Profit]]/Table3[[#Totals],[Total Month Profit]]</f>
        <v>9.5270458928467097E-2</v>
      </c>
      <c r="E15" s="98"/>
      <c r="F15" s="99"/>
      <c r="G15" s="100"/>
    </row>
    <row r="16" spans="2:7" x14ac:dyDescent="0.25">
      <c r="E16" s="98"/>
      <c r="F16" s="99"/>
      <c r="G16" s="100"/>
    </row>
    <row r="17" spans="2:7" x14ac:dyDescent="0.25">
      <c r="B17" s="104" t="s">
        <v>81</v>
      </c>
      <c r="C17" s="104"/>
      <c r="E17" s="98"/>
      <c r="F17" s="99"/>
      <c r="G17" s="100"/>
    </row>
    <row r="18" spans="2:7" ht="21" customHeight="1" x14ac:dyDescent="0.25">
      <c r="B18" s="105" t="s">
        <v>107</v>
      </c>
      <c r="C18" s="105"/>
      <c r="E18" s="98"/>
      <c r="F18" s="99"/>
      <c r="G18" s="100"/>
    </row>
    <row r="19" spans="2:7" ht="13.8" thickBot="1" x14ac:dyDescent="0.3">
      <c r="B19" s="59" t="s">
        <v>76</v>
      </c>
      <c r="C19" s="60" t="s">
        <v>75</v>
      </c>
      <c r="E19" s="101"/>
      <c r="F19" s="102"/>
      <c r="G19" s="103"/>
    </row>
    <row r="20" spans="2:7" ht="13.2" customHeight="1" x14ac:dyDescent="0.25">
      <c r="B20" s="55" t="s">
        <v>51</v>
      </c>
      <c r="C20" s="57">
        <f>Table3[[#Totals],[Monthly Popcorn Sales]]/Table3[[#Totals],[Monthly Customers]]</f>
        <v>0.55522665764546675</v>
      </c>
    </row>
    <row r="21" spans="2:7" x14ac:dyDescent="0.25">
      <c r="B21" s="56" t="s">
        <v>52</v>
      </c>
      <c r="C21" s="58">
        <f>Table3[[#Totals],[Monthly Soda Sales]]/Table3[[#Totals],[Monthly Customers]]</f>
        <v>0.59125507442489855</v>
      </c>
    </row>
    <row r="22" spans="2:7" x14ac:dyDescent="0.25">
      <c r="B22" s="55" t="s">
        <v>53</v>
      </c>
      <c r="C22" s="57">
        <f>Table3[[#Totals],[Monthly Food Sales]]/Table3[[#Totals],[Monthly Customers]]</f>
        <v>0.1551082543978349</v>
      </c>
    </row>
    <row r="23" spans="2:7" ht="23.4" customHeight="1" x14ac:dyDescent="0.25"/>
    <row r="24" spans="2:7" x14ac:dyDescent="0.25">
      <c r="B24" s="104" t="s">
        <v>79</v>
      </c>
      <c r="C24" s="104"/>
    </row>
    <row r="25" spans="2:7" ht="27.6" customHeight="1" thickBot="1" x14ac:dyDescent="0.3">
      <c r="B25" s="11" t="s">
        <v>80</v>
      </c>
      <c r="C25" s="51" t="s">
        <v>74</v>
      </c>
    </row>
    <row r="26" spans="2:7" ht="12.6" customHeight="1" x14ac:dyDescent="0.25">
      <c r="B26" s="11" t="s">
        <v>60</v>
      </c>
      <c r="C26" s="48">
        <v>4.2</v>
      </c>
      <c r="E26" s="95" t="s">
        <v>86</v>
      </c>
      <c r="F26" s="96"/>
      <c r="G26" s="97"/>
    </row>
    <row r="27" spans="2:7" x14ac:dyDescent="0.25">
      <c r="B27" s="11" t="s">
        <v>36</v>
      </c>
      <c r="C27" s="48">
        <v>2.25</v>
      </c>
      <c r="E27" s="98"/>
      <c r="F27" s="99"/>
      <c r="G27" s="100"/>
    </row>
    <row r="28" spans="2:7" x14ac:dyDescent="0.25">
      <c r="B28" s="11" t="s">
        <v>14</v>
      </c>
      <c r="C28" s="48">
        <v>7.333333333333333</v>
      </c>
      <c r="E28" s="98"/>
      <c r="F28" s="99"/>
      <c r="G28" s="100"/>
    </row>
    <row r="29" spans="2:7" ht="13.8" thickBot="1" x14ac:dyDescent="0.3">
      <c r="B29" s="11" t="s">
        <v>78</v>
      </c>
      <c r="C29" s="48">
        <v>4.333333333333333</v>
      </c>
      <c r="E29" s="101"/>
      <c r="F29" s="102"/>
      <c r="G29" s="103"/>
    </row>
    <row r="31" spans="2:7" x14ac:dyDescent="0.25">
      <c r="B31" s="104" t="s">
        <v>113</v>
      </c>
      <c r="C31" s="104"/>
      <c r="D31" s="104"/>
      <c r="E31" s="104"/>
    </row>
    <row r="32" spans="2:7" x14ac:dyDescent="0.25">
      <c r="B32" s="106" t="s">
        <v>88</v>
      </c>
      <c r="C32" s="106"/>
      <c r="D32" s="106"/>
      <c r="E32" s="106"/>
    </row>
    <row r="33" spans="2:11" ht="24.6" customHeight="1" x14ac:dyDescent="0.25">
      <c r="B33" s="11" t="s">
        <v>82</v>
      </c>
      <c r="C33" s="49" t="s">
        <v>83</v>
      </c>
      <c r="D33" s="11" t="s">
        <v>114</v>
      </c>
      <c r="E33" s="11" t="s">
        <v>87</v>
      </c>
    </row>
    <row r="34" spans="2:11" x14ac:dyDescent="0.25">
      <c r="B34" s="52">
        <v>1</v>
      </c>
      <c r="C34" s="46">
        <f>('Monthly Profit &amp; Refined Data'!L14/'Monthly Profit &amp; Refined Data'!$G$8)/30</f>
        <v>8.2462962962962987</v>
      </c>
      <c r="D34" s="46">
        <f>'Monthly Profit &amp; Refined Data'!L14/30</f>
        <v>123.69444444444447</v>
      </c>
      <c r="E34" s="46">
        <f>'Monthly Profit &amp; Refined Data'!H14</f>
        <v>12</v>
      </c>
    </row>
    <row r="35" spans="2:11" ht="13.8" thickBot="1" x14ac:dyDescent="0.3">
      <c r="B35" s="52">
        <v>2</v>
      </c>
      <c r="C35" s="46">
        <f>('Monthly Profit &amp; Refined Data'!L15/'Monthly Profit &amp; Refined Data'!$G$8)/30</f>
        <v>10.988624338624341</v>
      </c>
      <c r="D35" s="46">
        <f>'Monthly Profit &amp; Refined Data'!L15/30</f>
        <v>164.82936507936512</v>
      </c>
      <c r="E35" s="46">
        <f>'Monthly Profit &amp; Refined Data'!H15</f>
        <v>21</v>
      </c>
    </row>
    <row r="36" spans="2:11" ht="13.2" customHeight="1" x14ac:dyDescent="0.25">
      <c r="B36" s="52">
        <v>3</v>
      </c>
      <c r="C36" s="46">
        <f>('Monthly Profit &amp; Refined Data'!L16/'Monthly Profit &amp; Refined Data'!$G$8)/30</f>
        <v>4.5480158730158733</v>
      </c>
      <c r="D36" s="46">
        <f>'Monthly Profit &amp; Refined Data'!L16/30</f>
        <v>68.220238095238102</v>
      </c>
      <c r="E36" s="46">
        <f>'Monthly Profit &amp; Refined Data'!H16</f>
        <v>8</v>
      </c>
      <c r="G36" s="95" t="s">
        <v>90</v>
      </c>
      <c r="H36" s="96"/>
      <c r="I36" s="96"/>
      <c r="J36" s="96"/>
      <c r="K36" s="97"/>
    </row>
    <row r="37" spans="2:11" x14ac:dyDescent="0.25">
      <c r="B37" s="52">
        <v>4</v>
      </c>
      <c r="C37" s="46">
        <f>('Monthly Profit &amp; Refined Data'!L17/'Monthly Profit &amp; Refined Data'!$G$8)/30</f>
        <v>9.7912698412698429</v>
      </c>
      <c r="D37" s="46">
        <f>'Monthly Profit &amp; Refined Data'!L17/30</f>
        <v>146.86904761904765</v>
      </c>
      <c r="E37" s="46">
        <f>'Monthly Profit &amp; Refined Data'!H17</f>
        <v>21</v>
      </c>
      <c r="G37" s="98"/>
      <c r="H37" s="99"/>
      <c r="I37" s="99"/>
      <c r="J37" s="99"/>
      <c r="K37" s="100"/>
    </row>
    <row r="38" spans="2:11" x14ac:dyDescent="0.25">
      <c r="B38" s="52">
        <v>5</v>
      </c>
      <c r="C38" s="46">
        <f>('Monthly Profit &amp; Refined Data'!L18/'Monthly Profit &amp; Refined Data'!$G$8)/30</f>
        <v>9.2601851851851862</v>
      </c>
      <c r="D38" s="46">
        <f>'Monthly Profit &amp; Refined Data'!L18/30</f>
        <v>138.9027777777778</v>
      </c>
      <c r="E38" s="46">
        <f>'Monthly Profit &amp; Refined Data'!H18</f>
        <v>25</v>
      </c>
      <c r="G38" s="98"/>
      <c r="H38" s="99"/>
      <c r="I38" s="99"/>
      <c r="J38" s="99"/>
      <c r="K38" s="100"/>
    </row>
    <row r="39" spans="2:11" x14ac:dyDescent="0.25">
      <c r="B39" s="52">
        <v>6</v>
      </c>
      <c r="C39" s="46">
        <f>('Monthly Profit &amp; Refined Data'!L19/'Monthly Profit &amp; Refined Data'!$G$8)/30</f>
        <v>13.798544973544974</v>
      </c>
      <c r="D39" s="46">
        <f>'Monthly Profit &amp; Refined Data'!L19/30</f>
        <v>206.97817460317461</v>
      </c>
      <c r="E39" s="46">
        <f>'Monthly Profit &amp; Refined Data'!H19</f>
        <v>10</v>
      </c>
      <c r="G39" s="98"/>
      <c r="H39" s="99"/>
      <c r="I39" s="99"/>
      <c r="J39" s="99"/>
      <c r="K39" s="100"/>
    </row>
    <row r="40" spans="2:11" x14ac:dyDescent="0.25">
      <c r="B40" s="52">
        <v>7</v>
      </c>
      <c r="C40" s="46">
        <f>('Monthly Profit &amp; Refined Data'!L20/'Monthly Profit &amp; Refined Data'!$G$8)/30</f>
        <v>9.3857142857142879</v>
      </c>
      <c r="D40" s="46">
        <f>'Monthly Profit &amp; Refined Data'!L20/30</f>
        <v>140.78571428571431</v>
      </c>
      <c r="E40" s="46">
        <f>'Monthly Profit &amp; Refined Data'!H20</f>
        <v>15</v>
      </c>
      <c r="G40" s="98"/>
      <c r="H40" s="99"/>
      <c r="I40" s="99"/>
      <c r="J40" s="99"/>
      <c r="K40" s="100"/>
    </row>
    <row r="41" spans="2:11" x14ac:dyDescent="0.25">
      <c r="B41" s="52">
        <v>8</v>
      </c>
      <c r="C41" s="46">
        <f>('Monthly Profit &amp; Refined Data'!L21/'Monthly Profit &amp; Refined Data'!$G$8)/30</f>
        <v>8.31388888888889</v>
      </c>
      <c r="D41" s="46">
        <f>'Monthly Profit &amp; Refined Data'!L21/30</f>
        <v>124.70833333333334</v>
      </c>
      <c r="E41" s="46">
        <f>'Monthly Profit &amp; Refined Data'!H21</f>
        <v>8</v>
      </c>
      <c r="G41" s="98"/>
      <c r="H41" s="99"/>
      <c r="I41" s="99"/>
      <c r="J41" s="99"/>
      <c r="K41" s="100"/>
    </row>
    <row r="42" spans="2:11" x14ac:dyDescent="0.25">
      <c r="B42" s="52">
        <v>9</v>
      </c>
      <c r="C42" s="46">
        <f>('Monthly Profit &amp; Refined Data'!L22/'Monthly Profit &amp; Refined Data'!$G$8)/30</f>
        <v>2.9740740740740743</v>
      </c>
      <c r="D42" s="46">
        <f>'Monthly Profit &amp; Refined Data'!L22/30</f>
        <v>44.611111111111114</v>
      </c>
      <c r="E42" s="46">
        <f>'Monthly Profit &amp; Refined Data'!H22</f>
        <v>6</v>
      </c>
      <c r="G42" s="98"/>
      <c r="H42" s="99"/>
      <c r="I42" s="99"/>
      <c r="J42" s="99"/>
      <c r="K42" s="100"/>
    </row>
    <row r="43" spans="2:11" ht="13.8" thickBot="1" x14ac:dyDescent="0.3">
      <c r="B43" s="52">
        <v>10</v>
      </c>
      <c r="C43" s="46">
        <f>('Monthly Profit &amp; Refined Data'!L23/'Monthly Profit &amp; Refined Data'!$G$8)/30</f>
        <v>11.577645502645504</v>
      </c>
      <c r="D43" s="46">
        <f>'Monthly Profit &amp; Refined Data'!L23/30</f>
        <v>173.66468253968256</v>
      </c>
      <c r="E43" s="46">
        <f>'Monthly Profit &amp; Refined Data'!H23</f>
        <v>18</v>
      </c>
      <c r="G43" s="101"/>
      <c r="H43" s="102"/>
      <c r="I43" s="102"/>
      <c r="J43" s="102"/>
      <c r="K43" s="103"/>
    </row>
    <row r="44" spans="2:11" x14ac:dyDescent="0.25">
      <c r="B44" s="52">
        <v>11</v>
      </c>
      <c r="C44" s="46">
        <f>('Monthly Profit &amp; Refined Data'!L24/'Monthly Profit &amp; Refined Data'!$G$8)/30</f>
        <v>9.7623015873015877</v>
      </c>
      <c r="D44" s="46">
        <f>'Monthly Profit &amp; Refined Data'!L24/30</f>
        <v>146.43452380952382</v>
      </c>
      <c r="E44" s="46">
        <f>'Monthly Profit &amp; Refined Data'!H24</f>
        <v>5</v>
      </c>
    </row>
    <row r="45" spans="2:11" x14ac:dyDescent="0.25">
      <c r="B45" s="52">
        <v>12</v>
      </c>
      <c r="C45" s="46">
        <f>('Monthly Profit &amp; Refined Data'!L25/'Monthly Profit &amp; Refined Data'!$G$8)/30</f>
        <v>15.526984126984129</v>
      </c>
      <c r="D45" s="46">
        <f>'Monthly Profit &amp; Refined Data'!L25/30</f>
        <v>232.90476190476193</v>
      </c>
      <c r="E45" s="46">
        <f>'Monthly Profit &amp; Refined Data'!H25</f>
        <v>7</v>
      </c>
    </row>
    <row r="46" spans="2:11" x14ac:dyDescent="0.25">
      <c r="B46" s="93" t="s">
        <v>89</v>
      </c>
      <c r="C46" s="46">
        <f>AVERAGE(C34:C45)</f>
        <v>9.5144620811287499</v>
      </c>
      <c r="D46" s="46">
        <f>AVERAGE(D34:D45)</f>
        <v>142.71693121693124</v>
      </c>
      <c r="E46" s="46">
        <f t="shared" ref="E46" si="0">AVERAGE(E34:E45)</f>
        <v>13</v>
      </c>
    </row>
    <row r="48" spans="2:11" x14ac:dyDescent="0.25">
      <c r="B48" s="108"/>
      <c r="C48" s="108"/>
    </row>
    <row r="49" spans="2:3" x14ac:dyDescent="0.25">
      <c r="B49" s="107"/>
      <c r="C49" s="107"/>
    </row>
    <row r="50" spans="2:3" x14ac:dyDescent="0.25">
      <c r="B50" s="11"/>
      <c r="C50" s="11"/>
    </row>
    <row r="51" spans="2:3" x14ac:dyDescent="0.25">
      <c r="B51" s="52"/>
      <c r="C51" s="46"/>
    </row>
    <row r="52" spans="2:3" x14ac:dyDescent="0.25">
      <c r="B52" s="52"/>
      <c r="C52" s="46"/>
    </row>
    <row r="53" spans="2:3" x14ac:dyDescent="0.25">
      <c r="B53" s="52"/>
      <c r="C53" s="46"/>
    </row>
    <row r="54" spans="2:3" x14ac:dyDescent="0.25">
      <c r="B54" s="52"/>
      <c r="C54" s="46"/>
    </row>
    <row r="55" spans="2:3" x14ac:dyDescent="0.25">
      <c r="B55" s="52"/>
      <c r="C55" s="46"/>
    </row>
    <row r="56" spans="2:3" x14ac:dyDescent="0.25">
      <c r="B56" s="52"/>
      <c r="C56" s="46"/>
    </row>
    <row r="57" spans="2:3" x14ac:dyDescent="0.25">
      <c r="B57" s="52"/>
      <c r="C57" s="46"/>
    </row>
    <row r="58" spans="2:3" x14ac:dyDescent="0.25">
      <c r="B58" s="52"/>
      <c r="C58" s="46"/>
    </row>
    <row r="59" spans="2:3" x14ac:dyDescent="0.25">
      <c r="B59" s="52"/>
      <c r="C59" s="46"/>
    </row>
    <row r="60" spans="2:3" x14ac:dyDescent="0.25">
      <c r="B60" s="52"/>
      <c r="C60" s="46"/>
    </row>
    <row r="61" spans="2:3" x14ac:dyDescent="0.25">
      <c r="B61" s="52"/>
      <c r="C61" s="46"/>
    </row>
    <row r="62" spans="2:3" x14ac:dyDescent="0.25">
      <c r="B62" s="52"/>
      <c r="C62" s="46"/>
    </row>
    <row r="63" spans="2:3" x14ac:dyDescent="0.25">
      <c r="B63" s="54"/>
      <c r="C63" s="53"/>
    </row>
  </sheetData>
  <mergeCells count="13">
    <mergeCell ref="B32:E32"/>
    <mergeCell ref="B31:E31"/>
    <mergeCell ref="G36:K43"/>
    <mergeCell ref="E14:G19"/>
    <mergeCell ref="B49:C49"/>
    <mergeCell ref="B48:C48"/>
    <mergeCell ref="B2:C3"/>
    <mergeCell ref="E26:G29"/>
    <mergeCell ref="B17:C17"/>
    <mergeCell ref="B5:C5"/>
    <mergeCell ref="B10:C10"/>
    <mergeCell ref="B24:C24"/>
    <mergeCell ref="B18:C18"/>
  </mergeCells>
  <phoneticPr fontId="9" type="noConversion"/>
  <pageMargins left="0.7" right="0.7" top="0.75" bottom="0.75" header="0.3" footer="0.3"/>
  <pageSetup orientation="portrait" r:id="rId2"/>
  <ignoredErrors>
    <ignoredError sqref="C7" calculatedColumn="1"/>
  </ignoredErrors>
  <tableParts count="4"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005F-C69A-4E0C-891B-E2B62AD2F255}">
  <dimension ref="A1:O25"/>
  <sheetViews>
    <sheetView workbookViewId="0">
      <selection activeCell="F11" sqref="F11"/>
    </sheetView>
  </sheetViews>
  <sheetFormatPr defaultRowHeight="13.2" x14ac:dyDescent="0.25"/>
  <cols>
    <col min="2" max="2" width="26.88671875" bestFit="1" customWidth="1"/>
    <col min="3" max="3" width="17.33203125" bestFit="1" customWidth="1"/>
    <col min="5" max="5" width="15.109375" customWidth="1"/>
    <col min="6" max="6" width="17.88671875" customWidth="1"/>
    <col min="7" max="7" width="17.21875" customWidth="1"/>
    <col min="8" max="8" width="15.33203125" bestFit="1" customWidth="1"/>
    <col min="9" max="9" width="12.6640625" customWidth="1"/>
    <col min="10" max="10" width="16.5546875" customWidth="1"/>
    <col min="11" max="11" width="17.88671875" customWidth="1"/>
    <col min="12" max="12" width="25.5546875" customWidth="1"/>
    <col min="13" max="13" width="27.44140625" customWidth="1"/>
    <col min="15" max="15" width="13.44140625" customWidth="1"/>
  </cols>
  <sheetData>
    <row r="1" spans="1:15" ht="13.8" thickBot="1" x14ac:dyDescent="0.3"/>
    <row r="2" spans="1:15" ht="13.8" thickBot="1" x14ac:dyDescent="0.3">
      <c r="B2" s="86" t="s">
        <v>50</v>
      </c>
      <c r="C2" s="90">
        <f>Table3[[#Totals],[Total Month Profit]]</f>
        <v>501886.94940476189</v>
      </c>
    </row>
    <row r="3" spans="1:15" ht="15.6" customHeight="1" thickBot="1" x14ac:dyDescent="0.3">
      <c r="B3" s="86" t="s">
        <v>56</v>
      </c>
      <c r="C3" s="87">
        <v>0.2</v>
      </c>
      <c r="E3" s="111" t="s">
        <v>101</v>
      </c>
      <c r="F3" s="112"/>
      <c r="G3" s="112"/>
      <c r="H3" s="112"/>
      <c r="I3" s="66">
        <f>'Monthly Profit &amp; Refined Data'!$L$26</f>
        <v>51378.095238095244</v>
      </c>
    </row>
    <row r="4" spans="1:15" ht="15.6" customHeight="1" thickBot="1" x14ac:dyDescent="0.3">
      <c r="B4" s="88" t="s">
        <v>57</v>
      </c>
      <c r="C4" s="90">
        <f>Table3[[#Totals],[Total Month Profit]]+(C3*Table3[[#Totals],[Total Month Profit]])</f>
        <v>602264.33928571432</v>
      </c>
    </row>
    <row r="5" spans="1:15" ht="13.8" thickBot="1" x14ac:dyDescent="0.3">
      <c r="B5" s="89" t="s">
        <v>110</v>
      </c>
      <c r="C5" s="91">
        <f>SUM(F14:F15,E25,M24,M15)</f>
        <v>638617.52998511924</v>
      </c>
    </row>
    <row r="7" spans="1:15" ht="13.8" thickBot="1" x14ac:dyDescent="0.3"/>
    <row r="8" spans="1:15" ht="49.2" customHeight="1" thickBot="1" x14ac:dyDescent="0.3">
      <c r="B8" s="126" t="s">
        <v>111</v>
      </c>
      <c r="C8" s="127"/>
      <c r="D8" s="127"/>
      <c r="E8" s="127"/>
      <c r="F8" s="127"/>
      <c r="G8" s="128"/>
      <c r="I8" s="126" t="s">
        <v>108</v>
      </c>
      <c r="J8" s="127"/>
      <c r="K8" s="127"/>
      <c r="L8" s="127"/>
      <c r="M8" s="127"/>
      <c r="N8" s="127"/>
      <c r="O8" s="128"/>
    </row>
    <row r="9" spans="1:15" x14ac:dyDescent="0.25">
      <c r="A9" s="11"/>
    </row>
    <row r="10" spans="1:15" x14ac:dyDescent="0.25">
      <c r="A10" s="11"/>
      <c r="C10" s="124" t="s">
        <v>91</v>
      </c>
      <c r="D10" s="125"/>
      <c r="E10" s="125"/>
      <c r="F10" s="82">
        <f>SUM('Monthly Profit &amp; Refined Data'!$C$8:$E$8)</f>
        <v>11.75</v>
      </c>
    </row>
    <row r="11" spans="1:15" x14ac:dyDescent="0.25">
      <c r="A11" s="11"/>
      <c r="C11" s="61" t="s">
        <v>92</v>
      </c>
      <c r="D11" s="62"/>
      <c r="E11" s="67"/>
      <c r="F11" s="81">
        <v>0.12</v>
      </c>
      <c r="J11" s="68" t="s">
        <v>76</v>
      </c>
      <c r="K11" s="69" t="s">
        <v>100</v>
      </c>
      <c r="L11" s="70" t="s">
        <v>95</v>
      </c>
      <c r="M11" s="71" t="s">
        <v>96</v>
      </c>
    </row>
    <row r="12" spans="1:15" x14ac:dyDescent="0.25">
      <c r="C12" s="124" t="s">
        <v>93</v>
      </c>
      <c r="D12" s="125"/>
      <c r="E12" s="125"/>
      <c r="F12" s="82">
        <f>F10-(F10*F11)</f>
        <v>10.34</v>
      </c>
      <c r="J12" s="72" t="s">
        <v>28</v>
      </c>
      <c r="K12" s="55">
        <v>4.25</v>
      </c>
      <c r="L12" s="73">
        <f>0.25*Table3[[#Totals],[Monthly Popcorn Sales]]</f>
        <v>7131.6220238095239</v>
      </c>
      <c r="M12" s="85">
        <f>L12*K12</f>
        <v>30309.393601190477</v>
      </c>
    </row>
    <row r="13" spans="1:15" x14ac:dyDescent="0.25">
      <c r="A13" s="11"/>
      <c r="C13" s="61" t="s">
        <v>94</v>
      </c>
      <c r="D13" s="62"/>
      <c r="E13" s="67"/>
      <c r="F13" s="81">
        <v>0.75</v>
      </c>
      <c r="G13" s="64"/>
      <c r="J13" s="74" t="s">
        <v>29</v>
      </c>
      <c r="K13" s="56">
        <v>2.5</v>
      </c>
      <c r="L13" s="75">
        <f>0.25*Table3[[#Totals],[Monthly Soda Sales]]</f>
        <v>7594.3898809523816</v>
      </c>
      <c r="M13" s="84">
        <f t="shared" ref="M13:M14" si="0">L13*K13</f>
        <v>18985.974702380954</v>
      </c>
    </row>
    <row r="14" spans="1:15" x14ac:dyDescent="0.25">
      <c r="B14" s="11"/>
      <c r="C14" s="121" t="s">
        <v>103</v>
      </c>
      <c r="D14" s="122"/>
      <c r="E14" s="123"/>
      <c r="F14" s="76">
        <f>F13*$I$3*$F$12</f>
        <v>398437.12857142865</v>
      </c>
      <c r="G14" s="65"/>
      <c r="J14" s="61" t="s">
        <v>30</v>
      </c>
      <c r="K14" s="62">
        <v>6</v>
      </c>
      <c r="L14" s="67">
        <f>0.25*Table3[[#Totals],[Monthly Food Sales]]</f>
        <v>1992.2916666666667</v>
      </c>
      <c r="M14" s="83">
        <f t="shared" si="0"/>
        <v>11953.75</v>
      </c>
    </row>
    <row r="15" spans="1:15" x14ac:dyDescent="0.25">
      <c r="B15" s="11"/>
      <c r="C15" s="121" t="s">
        <v>102</v>
      </c>
      <c r="D15" s="122"/>
      <c r="E15" s="123"/>
      <c r="F15" s="76">
        <f>(1-F13)*$I$3*'Monthly Profit &amp; Refined Data'!$C$8</f>
        <v>64222.619047619053</v>
      </c>
      <c r="G15" s="65"/>
      <c r="H15" s="65"/>
      <c r="L15" s="77" t="s">
        <v>97</v>
      </c>
      <c r="M15" s="76">
        <f>SUM(M12:M14)</f>
        <v>61249.118303571435</v>
      </c>
    </row>
    <row r="16" spans="1:15" x14ac:dyDescent="0.25">
      <c r="F16" s="65"/>
    </row>
    <row r="18" spans="2:14" ht="13.8" thickBot="1" x14ac:dyDescent="0.3"/>
    <row r="19" spans="2:14" ht="19.2" customHeight="1" x14ac:dyDescent="0.25">
      <c r="B19" s="115" t="s">
        <v>109</v>
      </c>
      <c r="C19" s="116"/>
      <c r="D19" s="116"/>
      <c r="E19" s="116"/>
      <c r="F19" s="116"/>
      <c r="G19" s="117"/>
      <c r="I19" s="115" t="s">
        <v>112</v>
      </c>
      <c r="J19" s="116"/>
      <c r="K19" s="116"/>
      <c r="L19" s="116"/>
      <c r="M19" s="116"/>
      <c r="N19" s="117"/>
    </row>
    <row r="20" spans="2:14" ht="29.4" customHeight="1" thickBot="1" x14ac:dyDescent="0.3">
      <c r="B20" s="118"/>
      <c r="C20" s="119"/>
      <c r="D20" s="119"/>
      <c r="E20" s="119"/>
      <c r="F20" s="119"/>
      <c r="G20" s="120"/>
      <c r="I20" s="118"/>
      <c r="J20" s="119"/>
      <c r="K20" s="119"/>
      <c r="L20" s="119"/>
      <c r="M20" s="119"/>
      <c r="N20" s="120"/>
    </row>
    <row r="22" spans="2:14" x14ac:dyDescent="0.25">
      <c r="C22" s="135"/>
      <c r="D22" s="135"/>
    </row>
    <row r="23" spans="2:14" x14ac:dyDescent="0.25">
      <c r="C23" s="133" t="s">
        <v>99</v>
      </c>
      <c r="D23" s="134"/>
      <c r="E23" s="80">
        <v>0.25</v>
      </c>
      <c r="K23" s="129" t="s">
        <v>105</v>
      </c>
      <c r="L23" s="130"/>
      <c r="M23" s="92">
        <v>7.4999999999999997E-2</v>
      </c>
    </row>
    <row r="24" spans="2:14" x14ac:dyDescent="0.25">
      <c r="C24" s="131" t="s">
        <v>104</v>
      </c>
      <c r="D24" s="132"/>
      <c r="E24" s="79">
        <f>E23*I3</f>
        <v>12844.523809523811</v>
      </c>
      <c r="L24" s="78" t="s">
        <v>106</v>
      </c>
      <c r="M24" s="78">
        <f>M23*C2</f>
        <v>37641.521205357138</v>
      </c>
    </row>
    <row r="25" spans="2:14" x14ac:dyDescent="0.25">
      <c r="C25" s="113" t="s">
        <v>98</v>
      </c>
      <c r="D25" s="114"/>
      <c r="E25" s="76">
        <f>E24*'Monthly Profit &amp; Refined Data'!F8</f>
        <v>77067.14285714287</v>
      </c>
    </row>
  </sheetData>
  <mergeCells count="14">
    <mergeCell ref="E3:H3"/>
    <mergeCell ref="C25:D25"/>
    <mergeCell ref="I19:N20"/>
    <mergeCell ref="C14:E14"/>
    <mergeCell ref="C15:E15"/>
    <mergeCell ref="C10:E10"/>
    <mergeCell ref="B8:G8"/>
    <mergeCell ref="I8:O8"/>
    <mergeCell ref="K23:L23"/>
    <mergeCell ref="C12:E12"/>
    <mergeCell ref="C24:D24"/>
    <mergeCell ref="C23:D23"/>
    <mergeCell ref="C22:D22"/>
    <mergeCell ref="B19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Glossary</vt:lpstr>
      <vt:lpstr>Original Data</vt:lpstr>
      <vt:lpstr>Monthly Profit &amp; Refined Data</vt:lpstr>
      <vt:lpstr>Profit &amp; KPI Analysis</vt:lpstr>
      <vt:lpstr>Reaching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Adel Sabri-External</cp:lastModifiedBy>
  <dcterms:modified xsi:type="dcterms:W3CDTF">2026-06-21T22:16:51Z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4733f5-806e-453c-a6b2-8a6e2550356b_Enabled">
    <vt:lpwstr>true</vt:lpwstr>
  </property>
  <property fmtid="{D5CDD505-2E9C-101B-9397-08002B2CF9AE}" pid="3" name="MSIP_Label_ec4733f5-806e-453c-a6b2-8a6e2550356b_SetDate">
    <vt:lpwstr>2026-06-19T10:19:32Z</vt:lpwstr>
  </property>
  <property fmtid="{D5CDD505-2E9C-101B-9397-08002B2CF9AE}" pid="4" name="MSIP_Label_ec4733f5-806e-453c-a6b2-8a6e2550356b_Method">
    <vt:lpwstr>Standard</vt:lpwstr>
  </property>
  <property fmtid="{D5CDD505-2E9C-101B-9397-08002B2CF9AE}" pid="5" name="MSIP_Label_ec4733f5-806e-453c-a6b2-8a6e2550356b_Name">
    <vt:lpwstr>Internal Use</vt:lpwstr>
  </property>
  <property fmtid="{D5CDD505-2E9C-101B-9397-08002B2CF9AE}" pid="6" name="MSIP_Label_ec4733f5-806e-453c-a6b2-8a6e2550356b_SiteId">
    <vt:lpwstr>79ddd250-40e1-4d41-ba0f-c9e9849725cb</vt:lpwstr>
  </property>
  <property fmtid="{D5CDD505-2E9C-101B-9397-08002B2CF9AE}" pid="7" name="MSIP_Label_ec4733f5-806e-453c-a6b2-8a6e2550356b_ActionId">
    <vt:lpwstr>988dca25-4f6e-4494-9935-02d7b95ba8d3</vt:lpwstr>
  </property>
  <property fmtid="{D5CDD505-2E9C-101B-9397-08002B2CF9AE}" pid="8" name="MSIP_Label_ec4733f5-806e-453c-a6b2-8a6e2550356b_ContentBits">
    <vt:lpwstr>2</vt:lpwstr>
  </property>
  <property fmtid="{D5CDD505-2E9C-101B-9397-08002B2CF9AE}" pid="9" name="MSIP_Label_ec4733f5-806e-453c-a6b2-8a6e2550356b_Tag">
    <vt:lpwstr>10, 3, 0, 1</vt:lpwstr>
  </property>
</Properties>
</file>